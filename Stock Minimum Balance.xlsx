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Inventory\Dashboard\"/>
    </mc:Choice>
  </mc:AlternateContent>
  <xr:revisionPtr revIDLastSave="0" documentId="13_ncr:1_{82504DC4-E7E2-4423-9F64-76149449742F}" xr6:coauthVersionLast="47" xr6:coauthVersionMax="47" xr10:uidLastSave="{00000000-0000-0000-0000-000000000000}"/>
  <bookViews>
    <workbookView xWindow="-120" yWindow="-120" windowWidth="29040" windowHeight="17520" xr2:uid="{6940CD0B-349B-4CBB-88AD-1696E8B6F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</calcChain>
</file>

<file path=xl/sharedStrings.xml><?xml version="1.0" encoding="utf-8"?>
<sst xmlns="http://schemas.openxmlformats.org/spreadsheetml/2006/main" count="259" uniqueCount="134">
  <si>
    <t>ITEM NAME</t>
  </si>
  <si>
    <t>MIN BAL QTY</t>
  </si>
  <si>
    <t>STOCK GROUP</t>
  </si>
  <si>
    <t xml:space="preserve">ADDITIVE 90250                </t>
  </si>
  <si>
    <t>ADDTIVE COMPRESSION SET CST009</t>
  </si>
  <si>
    <t xml:space="preserve">BINDER                        </t>
  </si>
  <si>
    <t xml:space="preserve">COLOUR BLACK 2142             </t>
  </si>
  <si>
    <t xml:space="preserve">COLOUR BLUE ROYAL 305         </t>
  </si>
  <si>
    <t xml:space="preserve">FR CHEMICAL                   </t>
  </si>
  <si>
    <t xml:space="preserve">GRAYPHITE POWDER              </t>
  </si>
  <si>
    <t xml:space="preserve">POLYMER (P O P)               </t>
  </si>
  <si>
    <t xml:space="preserve">POLYOL HR                     </t>
  </si>
  <si>
    <t xml:space="preserve">POLYOL MEM. BOX 250 HO        </t>
  </si>
  <si>
    <t xml:space="preserve">POLYOL POLYSTER 1752          </t>
  </si>
  <si>
    <t xml:space="preserve">SILICON RZ-868                </t>
  </si>
  <si>
    <t xml:space="preserve">AMINE A33                     </t>
  </si>
  <si>
    <t xml:space="preserve">AMINE B-11 PLUS               </t>
  </si>
  <si>
    <t xml:space="preserve">CALCITE POWDER                </t>
  </si>
  <si>
    <t xml:space="preserve">COLOUR BLUE LIQ 3111          </t>
  </si>
  <si>
    <t xml:space="preserve">COLOUR BROWN 237              </t>
  </si>
  <si>
    <t xml:space="preserve">COLOUR BURGANDY 719           </t>
  </si>
  <si>
    <t xml:space="preserve">COLOUR RED 724                </t>
  </si>
  <si>
    <t xml:space="preserve">COLOUR VIOLET 4008 LLV        </t>
  </si>
  <si>
    <t xml:space="preserve">COLOUR YELLOW 524             </t>
  </si>
  <si>
    <t xml:space="preserve">COMFI JEL POWDER BLACK        </t>
  </si>
  <si>
    <t xml:space="preserve">COMFI JEL POWDER BLUE         </t>
  </si>
  <si>
    <t xml:space="preserve">D.P. ADDTIVE.                 </t>
  </si>
  <si>
    <t xml:space="preserve">FLE  (ADDTIVE)                </t>
  </si>
  <si>
    <t xml:space="preserve">MCL (METHYLENE CHLORIDE)      </t>
  </si>
  <si>
    <t xml:space="preserve">MDI LATEX                     </t>
  </si>
  <si>
    <t xml:space="preserve">MDI MEMORY                    </t>
  </si>
  <si>
    <t xml:space="preserve">POLYOL                        </t>
  </si>
  <si>
    <t xml:space="preserve">POLYOL MEMORY (MDI BASE)      </t>
  </si>
  <si>
    <t xml:space="preserve">POLYOL PU LATEX               </t>
  </si>
  <si>
    <t xml:space="preserve">S.O. CHEMICAL                 </t>
  </si>
  <si>
    <t xml:space="preserve">SILICON L-618                 </t>
  </si>
  <si>
    <t xml:space="preserve">SOFTNER (G.M)                 </t>
  </si>
  <si>
    <t>RAW MATERIAL</t>
  </si>
  <si>
    <t>PACKING MATERIAL</t>
  </si>
  <si>
    <t>CURRENT QTY</t>
  </si>
  <si>
    <t xml:space="preserve">BLADE CLOTH CUTTER TK-125 (8) </t>
  </si>
  <si>
    <t xml:space="preserve">CENTER BEND RESPONSE          </t>
  </si>
  <si>
    <t xml:space="preserve">CENTER BEND ROSEGOLD          </t>
  </si>
  <si>
    <t xml:space="preserve">CNC WIRE 8880*1.3 MM          </t>
  </si>
  <si>
    <t xml:space="preserve">CORRUGATED BOX 13*13*75 RESP  </t>
  </si>
  <si>
    <t xml:space="preserve">CORRUGATED BOX 16*16*42 RESP  </t>
  </si>
  <si>
    <t xml:space="preserve">GRINDER 75*40*20              </t>
  </si>
  <si>
    <t xml:space="preserve">LAMINATION PVC 52" 22KG       </t>
  </si>
  <si>
    <t xml:space="preserve">LAMINATION PVC 54" 22KG       </t>
  </si>
  <si>
    <t xml:space="preserve">LAMINATION PVC 78" 30KG       </t>
  </si>
  <si>
    <t xml:space="preserve">MRP ROLL PHYSICIA 75*140 MM   </t>
  </si>
  <si>
    <t xml:space="preserve">PANNI 68*91 PLAIN 75 MC 600GM </t>
  </si>
  <si>
    <t xml:space="preserve">PANNI CLIMATE 6*6             </t>
  </si>
  <si>
    <t xml:space="preserve">PANNI CLIMATE PLUS 6*6        </t>
  </si>
  <si>
    <t xml:space="preserve">PANNI JINDAL ULTRA 21*22      </t>
  </si>
  <si>
    <t xml:space="preserve">PANNI JINDAL ULTRA 3*6        </t>
  </si>
  <si>
    <t xml:space="preserve">PANNI JINDAL ULTRA 4*6        </t>
  </si>
  <si>
    <t xml:space="preserve">PANNI JINDAL ULTRA 6*6        </t>
  </si>
  <si>
    <t xml:space="preserve">PANNI LINCOLN BLUE 3*6        </t>
  </si>
  <si>
    <t xml:space="preserve">PANNI LINCOLN ULTRA 3*6       </t>
  </si>
  <si>
    <t xml:space="preserve">PANNI LINCOLN ULTRA 6*6       </t>
  </si>
  <si>
    <t xml:space="preserve">PANNI PILLOW 11*27 PLAIN      </t>
  </si>
  <si>
    <t xml:space="preserve">PANNI RESPONSE 21*22          </t>
  </si>
  <si>
    <t xml:space="preserve">PANNI RESPONSE 3*6            </t>
  </si>
  <si>
    <t xml:space="preserve">PANNI RESPONSE 4*6            </t>
  </si>
  <si>
    <t xml:space="preserve">PANNI RESPONSE 6*6            </t>
  </si>
  <si>
    <t xml:space="preserve">PANNI RESPONSE CJ 3*6         </t>
  </si>
  <si>
    <t xml:space="preserve">PANNI RESPONSE CJ 4*6         </t>
  </si>
  <si>
    <t xml:space="preserve">PANNI RESPONSE CJ 6*6         </t>
  </si>
  <si>
    <t xml:space="preserve">PANNI ROSE GOLD BLACK 21*22   </t>
  </si>
  <si>
    <t xml:space="preserve">PANNI ROSE GOLD BLACK 3*6     </t>
  </si>
  <si>
    <t xml:space="preserve">PANNI ROSE GOLD BLACK 4*6     </t>
  </si>
  <si>
    <t xml:space="preserve">PANNI ROSE GOLD BLACK 6*6     </t>
  </si>
  <si>
    <t xml:space="preserve">PILLOW BAG PVC 26*17*2.5"     </t>
  </si>
  <si>
    <t xml:space="preserve">POLYBAG 72.5*35.5*35 (540GM)  </t>
  </si>
  <si>
    <t xml:space="preserve">POLYBAG 73*48*35 (4*6) 625 GM </t>
  </si>
  <si>
    <t xml:space="preserve">POLYBAG 73*48*35 YELLOW       </t>
  </si>
  <si>
    <t xml:space="preserve">POLYBAG 73*73*22 (6*6) 640 GM </t>
  </si>
  <si>
    <t xml:space="preserve">POLYBAG 73*79*22 (690 GM)     </t>
  </si>
  <si>
    <t xml:space="preserve">POLYBAG ROUN 64*42 (560GM)2.5 </t>
  </si>
  <si>
    <t xml:space="preserve">POLYTHIN ROLL 40" MATTRESS    </t>
  </si>
  <si>
    <t xml:space="preserve">POLYTHIN ROLL 80" MATTRESS    </t>
  </si>
  <si>
    <t xml:space="preserve">SPRING BONNAL 70*68*6" 145 MM </t>
  </si>
  <si>
    <t xml:space="preserve">WARRANTY CARD ROSE GOLD MATT. </t>
  </si>
  <si>
    <t xml:space="preserve">BLADE O/L 202295 ( ZUKKY MAC) </t>
  </si>
  <si>
    <t xml:space="preserve">BOPP BAG 19*56 (0.170GM)      </t>
  </si>
  <si>
    <t xml:space="preserve">BOPP BAG 27*58 (0.240GM)      </t>
  </si>
  <si>
    <t xml:space="preserve">CORNER BOX ROSE GOLD 5"       </t>
  </si>
  <si>
    <t xml:space="preserve">CORRUGATED BOX 13*13*39 RESP  </t>
  </si>
  <si>
    <t xml:space="preserve">GRINDER 50*40*15              </t>
  </si>
  <si>
    <t xml:space="preserve">GRINDER 75*40*10              </t>
  </si>
  <si>
    <t xml:space="preserve">GRINDER 75*40*32              </t>
  </si>
  <si>
    <t xml:space="preserve">GRINDER WHEEL DIMOND (DGW 6A) </t>
  </si>
  <si>
    <t xml:space="preserve">GUARANTEE CARD CLIMATE        </t>
  </si>
  <si>
    <t xml:space="preserve">GUARANTEE CARD CLIMATE +      </t>
  </si>
  <si>
    <t xml:space="preserve">GUARANTEE CARD COOLGEL FOAM   </t>
  </si>
  <si>
    <t xml:space="preserve">GUARANTEE CARD JINDAL FOAM    </t>
  </si>
  <si>
    <t xml:space="preserve">GUARANTEE CARD RESPONSE       </t>
  </si>
  <si>
    <t xml:space="preserve">INK FLUSH UV INK (20          </t>
  </si>
  <si>
    <t xml:space="preserve">LABEL BAR CODE 2" (TAFTA)     </t>
  </si>
  <si>
    <t xml:space="preserve">LABEL PILLOW RESPONSE (ROLL)  </t>
  </si>
  <si>
    <t xml:space="preserve">LABEL TAFTA LIVPURE 3"(ROLL)  </t>
  </si>
  <si>
    <t xml:space="preserve">LAMINATION PVC 40" 14KG 4"    </t>
  </si>
  <si>
    <t xml:space="preserve">LAMINATION PVC 42 16KG 6      </t>
  </si>
  <si>
    <t xml:space="preserve">MRP ROLL RESPONSE 75*140 MM   </t>
  </si>
  <si>
    <t xml:space="preserve">MRP ROLL ROSE GOLD 75*140 MM  </t>
  </si>
  <si>
    <t xml:space="preserve">PANNI 44*88 PLAIN 70 MC 350GM </t>
  </si>
  <si>
    <t xml:space="preserve">PANNI 56*88 PLAIN 70 MC 460GM </t>
  </si>
  <si>
    <t xml:space="preserve">PANNI 80*93 PLAIN 70 MC 680GM </t>
  </si>
  <si>
    <t xml:space="preserve">PANNI 89*97 PLAIN 70 MC       </t>
  </si>
  <si>
    <t xml:space="preserve">PANNI BLACK LD TUBE 64 (50MC  </t>
  </si>
  <si>
    <t xml:space="preserve">PANNI CLIMATE 21*22           </t>
  </si>
  <si>
    <t xml:space="preserve">PANNI CLIMATE 3*6             </t>
  </si>
  <si>
    <t xml:space="preserve">PANNI CLIMATE 4*6             </t>
  </si>
  <si>
    <t xml:space="preserve">PANNI CLIMATE PLUS 21*22      </t>
  </si>
  <si>
    <t xml:space="preserve">PANNI CLIMATE PLUS 3*6        </t>
  </si>
  <si>
    <t xml:space="preserve">PANNI CLIMATE PLUS 4*6        </t>
  </si>
  <si>
    <t xml:space="preserve">PANNI LINCOLN BLUE 21*22      </t>
  </si>
  <si>
    <t xml:space="preserve">PANNI LINCOLN BLUE 4*6        </t>
  </si>
  <si>
    <t xml:space="preserve">PANNI LINCOLN BLUE 6*6        </t>
  </si>
  <si>
    <t xml:space="preserve">PANNI LINCOLN ULTRA 21*22     </t>
  </si>
  <si>
    <t xml:space="preserve">PANNI LINCOLN ULTRA 4*6       </t>
  </si>
  <si>
    <t xml:space="preserve">PANNI PILLOW RESPONSE         </t>
  </si>
  <si>
    <t xml:space="preserve">PANNI RESPONSE CJ 21*22       </t>
  </si>
  <si>
    <t xml:space="preserve">POLYBAG 73*36*35 BLUE 540GM   </t>
  </si>
  <si>
    <t xml:space="preserve">POLYBAG 74*37*35 (3*6) 540 GM </t>
  </si>
  <si>
    <t xml:space="preserve">POLYBAG 78*60*22              </t>
  </si>
  <si>
    <t xml:space="preserve">POLYBAG ROUN 64*42 YELLOW 550 </t>
  </si>
  <si>
    <t>POLYBAG ROUN 75*42 (600 GM)2.5</t>
  </si>
  <si>
    <t>POLYBAG ROUN 81*42 (630 GM)2.5</t>
  </si>
  <si>
    <t xml:space="preserve">PVC MATTRESS COVER 78*37*6.5" </t>
  </si>
  <si>
    <t xml:space="preserve">SILICON SPRAY                 </t>
  </si>
  <si>
    <t xml:space="preserve">STRETCH FILM 40" (40MIC)     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</si>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</sst>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0" fontId="0" fillId="0" borderId="7" xfId="0" applyBorder="1"/>
  </cellXfs>
  <cellStyles count="1">
    <cellStyle name="Normal" xfId="0" builtinId="0"/>
  </cellStyles>
  <dxfs count="1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C928F495-1B8B-4968-89D2-131C87AA3C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95E21-CA98-4BD2-A372-F33B683FD0A9}" name="Stock_Min_Bal" displayName="Stock_Min_Bal" ref="A1:E128" totalsRowShown="0" headerRowDxfId="9" headerRowBorderDxfId="8" tableBorderDxfId="7" totalsRowBorderDxfId="6">
  <tableColumns count="5">
    <tableColumn id="1" xr3:uid="{A66F3337-BEAF-422B-856A-309FDEC39C90}" name="STOCK GROUP" dataDxfId="5"/>
    <tableColumn id="2" xr3:uid="{96666D08-9050-44A4-A350-FB813671D5F6}" name="ITEM NAME" dataDxfId="4"/>
    <tableColumn id="3" xr3:uid="{3B06E80A-4637-4215-A9A9-3319E1DCA7A6}" name="MIN BAL QTY" dataDxfId="3"/>
    <tableColumn id="4" xr3:uid="{5B0BCA79-4A70-403D-BE63-0CB7D243E0CE}" name="CURRENT QTY" dataDxfId="2"/>
    <tableColumn id="5" xr3:uid="{DD295B46-E79F-4080-B5D3-63CBCC72F690}" name="STATUS" dataDxfId="0">
      <calculatedColumnFormula>IF(Stock_Min_Bal[[#This Row],[CURRENT QTY]]&lt;Stock_Min_Bal[[#This Row],[MIN BAL QTY]],"Below minimum","Minimum maintained")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A3EC-F31E-4F2B-8E4B-5C80EB351FB7}">
  <dimension ref="A1:E128"/>
  <sheetViews>
    <sheetView tabSelected="1" workbookViewId="0">
      <selection activeCell="G5" sqref="G5"/>
    </sheetView>
  </sheetViews>
  <sheetFormatPr defaultRowHeight="15.75" x14ac:dyDescent="0.25"/>
  <cols>
    <col min="1" max="1" width="17.25" bestFit="1" customWidth="1"/>
    <col min="2" max="2" width="32" bestFit="1" customWidth="1"/>
    <col min="3" max="3" width="14" customWidth="1"/>
    <col min="4" max="4" width="14.5" customWidth="1"/>
    <col min="5" max="5" width="18.375" bestFit="1" customWidth="1"/>
  </cols>
  <sheetData>
    <row r="1" spans="1:5" x14ac:dyDescent="0.25">
      <c r="A1" s="2" t="s">
        <v>2</v>
      </c>
      <c r="B1" s="3" t="s">
        <v>0</v>
      </c>
      <c r="C1" s="3" t="s">
        <v>1</v>
      </c>
      <c r="D1" s="4" t="s">
        <v>39</v>
      </c>
      <c r="E1" s="3" t="s">
        <v>133</v>
      </c>
    </row>
    <row r="2" spans="1:5" x14ac:dyDescent="0.25">
      <c r="A2" s="1" t="s">
        <v>37</v>
      </c>
      <c r="B2" s="9" t="s">
        <v>3</v>
      </c>
      <c r="C2" s="5">
        <v>100</v>
      </c>
      <c r="D2" s="6">
        <v>0</v>
      </c>
      <c r="E2" s="9" t="str">
        <f>IF(Stock_Min_Bal[[#This Row],[CURRENT QTY]]&lt;Stock_Min_Bal[[#This Row],[MIN BAL QTY]],"Below minimum","Minimum maintained")</f>
        <v>Below minimum</v>
      </c>
    </row>
    <row r="3" spans="1:5" x14ac:dyDescent="0.25">
      <c r="A3" s="1" t="s">
        <v>37</v>
      </c>
      <c r="B3" s="9" t="s">
        <v>4</v>
      </c>
      <c r="C3" s="5">
        <v>300</v>
      </c>
      <c r="D3" s="6">
        <v>0</v>
      </c>
      <c r="E3" s="9" t="str">
        <f>IF(Stock_Min_Bal[[#This Row],[CURRENT QTY]]&lt;Stock_Min_Bal[[#This Row],[MIN BAL QTY]],"Below minimum","Minimum maintained")</f>
        <v>Below minimum</v>
      </c>
    </row>
    <row r="4" spans="1:5" x14ac:dyDescent="0.25">
      <c r="A4" s="1" t="s">
        <v>37</v>
      </c>
      <c r="B4" s="9" t="s">
        <v>5</v>
      </c>
      <c r="C4" s="5">
        <v>2000</v>
      </c>
      <c r="D4" s="6">
        <v>520</v>
      </c>
      <c r="E4" s="9" t="str">
        <f>IF(Stock_Min_Bal[[#This Row],[CURRENT QTY]]&lt;Stock_Min_Bal[[#This Row],[MIN BAL QTY]],"Below minimum","Minimum maintained")</f>
        <v>Below minimum</v>
      </c>
    </row>
    <row r="5" spans="1:5" x14ac:dyDescent="0.25">
      <c r="A5" s="1" t="s">
        <v>37</v>
      </c>
      <c r="B5" s="9" t="s">
        <v>6</v>
      </c>
      <c r="C5" s="5">
        <v>400</v>
      </c>
      <c r="D5" s="6">
        <v>0</v>
      </c>
      <c r="E5" s="9" t="str">
        <f>IF(Stock_Min_Bal[[#This Row],[CURRENT QTY]]&lt;Stock_Min_Bal[[#This Row],[MIN BAL QTY]],"Below minimum","Minimum maintained")</f>
        <v>Below minimum</v>
      </c>
    </row>
    <row r="6" spans="1:5" x14ac:dyDescent="0.25">
      <c r="A6" s="1" t="s">
        <v>37</v>
      </c>
      <c r="B6" s="9" t="s">
        <v>18</v>
      </c>
      <c r="C6" s="5">
        <v>400</v>
      </c>
      <c r="D6" s="6">
        <v>200</v>
      </c>
      <c r="E6" s="9" t="str">
        <f>IF(Stock_Min_Bal[[#This Row],[CURRENT QTY]]&lt;Stock_Min_Bal[[#This Row],[MIN BAL QTY]],"Below minimum","Minimum maintained")</f>
        <v>Below minimum</v>
      </c>
    </row>
    <row r="7" spans="1:5" x14ac:dyDescent="0.25">
      <c r="A7" s="1" t="s">
        <v>37</v>
      </c>
      <c r="B7" s="9" t="s">
        <v>7</v>
      </c>
      <c r="C7" s="5">
        <v>400</v>
      </c>
      <c r="D7" s="6">
        <v>0</v>
      </c>
      <c r="E7" s="9" t="str">
        <f>IF(Stock_Min_Bal[[#This Row],[CURRENT QTY]]&lt;Stock_Min_Bal[[#This Row],[MIN BAL QTY]],"Below minimum","Minimum maintained")</f>
        <v>Below minimum</v>
      </c>
    </row>
    <row r="8" spans="1:5" x14ac:dyDescent="0.25">
      <c r="A8" s="1" t="s">
        <v>37</v>
      </c>
      <c r="B8" s="9" t="s">
        <v>8</v>
      </c>
      <c r="C8" s="5">
        <v>3000</v>
      </c>
      <c r="D8" s="6">
        <v>0</v>
      </c>
      <c r="E8" s="9" t="str">
        <f>IF(Stock_Min_Bal[[#This Row],[CURRENT QTY]]&lt;Stock_Min_Bal[[#This Row],[MIN BAL QTY]],"Below minimum","Minimum maintained")</f>
        <v>Below minimum</v>
      </c>
    </row>
    <row r="9" spans="1:5" x14ac:dyDescent="0.25">
      <c r="A9" s="1" t="s">
        <v>37</v>
      </c>
      <c r="B9" s="9" t="s">
        <v>9</v>
      </c>
      <c r="C9" s="5">
        <v>200</v>
      </c>
      <c r="D9" s="6">
        <v>0</v>
      </c>
      <c r="E9" s="9" t="str">
        <f>IF(Stock_Min_Bal[[#This Row],[CURRENT QTY]]&lt;Stock_Min_Bal[[#This Row],[MIN BAL QTY]],"Below minimum","Minimum maintained")</f>
        <v>Below minimum</v>
      </c>
    </row>
    <row r="10" spans="1:5" x14ac:dyDescent="0.25">
      <c r="A10" s="1" t="s">
        <v>37</v>
      </c>
      <c r="B10" s="9" t="s">
        <v>10</v>
      </c>
      <c r="C10" s="5">
        <v>30000</v>
      </c>
      <c r="D10" s="6">
        <v>5850</v>
      </c>
      <c r="E10" s="9" t="str">
        <f>IF(Stock_Min_Bal[[#This Row],[CURRENT QTY]]&lt;Stock_Min_Bal[[#This Row],[MIN BAL QTY]],"Below minimum","Minimum maintained")</f>
        <v>Below minimum</v>
      </c>
    </row>
    <row r="11" spans="1:5" x14ac:dyDescent="0.25">
      <c r="A11" s="1" t="s">
        <v>37</v>
      </c>
      <c r="B11" s="9" t="s">
        <v>11</v>
      </c>
      <c r="C11" s="5">
        <v>5000</v>
      </c>
      <c r="D11" s="6">
        <v>0</v>
      </c>
      <c r="E11" s="9" t="str">
        <f>IF(Stock_Min_Bal[[#This Row],[CURRENT QTY]]&lt;Stock_Min_Bal[[#This Row],[MIN BAL QTY]],"Below minimum","Minimum maintained")</f>
        <v>Below minimum</v>
      </c>
    </row>
    <row r="12" spans="1:5" x14ac:dyDescent="0.25">
      <c r="A12" s="1" t="s">
        <v>37</v>
      </c>
      <c r="B12" s="9" t="s">
        <v>12</v>
      </c>
      <c r="C12" s="5">
        <v>17000</v>
      </c>
      <c r="D12" s="6">
        <v>0</v>
      </c>
      <c r="E12" s="9" t="str">
        <f>IF(Stock_Min_Bal[[#This Row],[CURRENT QTY]]&lt;Stock_Min_Bal[[#This Row],[MIN BAL QTY]],"Below minimum","Minimum maintained")</f>
        <v>Below minimum</v>
      </c>
    </row>
    <row r="13" spans="1:5" x14ac:dyDescent="0.25">
      <c r="A13" s="1" t="s">
        <v>37</v>
      </c>
      <c r="B13" s="9" t="s">
        <v>32</v>
      </c>
      <c r="C13" s="5">
        <v>8000</v>
      </c>
      <c r="D13" s="6">
        <v>7740</v>
      </c>
      <c r="E13" s="9" t="str">
        <f>IF(Stock_Min_Bal[[#This Row],[CURRENT QTY]]&lt;Stock_Min_Bal[[#This Row],[MIN BAL QTY]],"Below minimum","Minimum maintained")</f>
        <v>Below minimum</v>
      </c>
    </row>
    <row r="14" spans="1:5" x14ac:dyDescent="0.25">
      <c r="A14" s="1" t="s">
        <v>37</v>
      </c>
      <c r="B14" s="9" t="s">
        <v>13</v>
      </c>
      <c r="C14" s="5">
        <v>200</v>
      </c>
      <c r="D14" s="6">
        <v>0</v>
      </c>
      <c r="E14" s="9" t="str">
        <f>IF(Stock_Min_Bal[[#This Row],[CURRENT QTY]]&lt;Stock_Min_Bal[[#This Row],[MIN BAL QTY]],"Below minimum","Minimum maintained")</f>
        <v>Below minimum</v>
      </c>
    </row>
    <row r="15" spans="1:5" x14ac:dyDescent="0.25">
      <c r="A15" s="1" t="s">
        <v>37</v>
      </c>
      <c r="B15" s="9" t="s">
        <v>14</v>
      </c>
      <c r="C15" s="5">
        <v>840</v>
      </c>
      <c r="D15" s="6">
        <v>0</v>
      </c>
      <c r="E15" s="9" t="str">
        <f>IF(Stock_Min_Bal[[#This Row],[CURRENT QTY]]&lt;Stock_Min_Bal[[#This Row],[MIN BAL QTY]],"Below minimum","Minimum maintained")</f>
        <v>Below minimum</v>
      </c>
    </row>
    <row r="16" spans="1:5" x14ac:dyDescent="0.25">
      <c r="A16" s="1" t="s">
        <v>37</v>
      </c>
      <c r="B16" s="9" t="s">
        <v>15</v>
      </c>
      <c r="C16" s="5">
        <v>200</v>
      </c>
      <c r="D16" s="6">
        <v>2800</v>
      </c>
      <c r="E16" s="9" t="str">
        <f>IF(Stock_Min_Bal[[#This Row],[CURRENT QTY]]&lt;Stock_Min_Bal[[#This Row],[MIN BAL QTY]],"Below minimum","Minimum maintained")</f>
        <v>Minimum maintained</v>
      </c>
    </row>
    <row r="17" spans="1:5" x14ac:dyDescent="0.25">
      <c r="A17" s="1" t="s">
        <v>37</v>
      </c>
      <c r="B17" s="9" t="s">
        <v>16</v>
      </c>
      <c r="C17" s="5">
        <v>185</v>
      </c>
      <c r="D17" s="6">
        <v>185</v>
      </c>
      <c r="E17" s="9" t="str">
        <f>IF(Stock_Min_Bal[[#This Row],[CURRENT QTY]]&lt;Stock_Min_Bal[[#This Row],[MIN BAL QTY]],"Below minimum","Minimum maintained")</f>
        <v>Minimum maintained</v>
      </c>
    </row>
    <row r="18" spans="1:5" x14ac:dyDescent="0.25">
      <c r="A18" s="1" t="s">
        <v>37</v>
      </c>
      <c r="B18" s="9" t="s">
        <v>17</v>
      </c>
      <c r="C18" s="5">
        <v>30000</v>
      </c>
      <c r="D18" s="6">
        <v>113000</v>
      </c>
      <c r="E18" s="9" t="str">
        <f>IF(Stock_Min_Bal[[#This Row],[CURRENT QTY]]&lt;Stock_Min_Bal[[#This Row],[MIN BAL QTY]],"Below minimum","Minimum maintained")</f>
        <v>Minimum maintained</v>
      </c>
    </row>
    <row r="19" spans="1:5" x14ac:dyDescent="0.25">
      <c r="A19" s="1" t="s">
        <v>37</v>
      </c>
      <c r="B19" s="9" t="s">
        <v>19</v>
      </c>
      <c r="C19" s="5">
        <v>200</v>
      </c>
      <c r="D19" s="6">
        <v>200</v>
      </c>
      <c r="E19" s="9" t="str">
        <f>IF(Stock_Min_Bal[[#This Row],[CURRENT QTY]]&lt;Stock_Min_Bal[[#This Row],[MIN BAL QTY]],"Below minimum","Minimum maintained")</f>
        <v>Minimum maintained</v>
      </c>
    </row>
    <row r="20" spans="1:5" x14ac:dyDescent="0.25">
      <c r="A20" s="1" t="s">
        <v>37</v>
      </c>
      <c r="B20" s="9" t="s">
        <v>20</v>
      </c>
      <c r="C20" s="5">
        <v>200</v>
      </c>
      <c r="D20" s="6">
        <v>400</v>
      </c>
      <c r="E20" s="9" t="str">
        <f>IF(Stock_Min_Bal[[#This Row],[CURRENT QTY]]&lt;Stock_Min_Bal[[#This Row],[MIN BAL QTY]],"Below minimum","Minimum maintained")</f>
        <v>Minimum maintained</v>
      </c>
    </row>
    <row r="21" spans="1:5" x14ac:dyDescent="0.25">
      <c r="A21" s="1" t="s">
        <v>37</v>
      </c>
      <c r="B21" s="9" t="s">
        <v>21</v>
      </c>
      <c r="C21" s="5">
        <v>400</v>
      </c>
      <c r="D21" s="6">
        <v>800</v>
      </c>
      <c r="E21" s="9" t="str">
        <f>IF(Stock_Min_Bal[[#This Row],[CURRENT QTY]]&lt;Stock_Min_Bal[[#This Row],[MIN BAL QTY]],"Below minimum","Minimum maintained")</f>
        <v>Minimum maintained</v>
      </c>
    </row>
    <row r="22" spans="1:5" x14ac:dyDescent="0.25">
      <c r="A22" s="1" t="s">
        <v>37</v>
      </c>
      <c r="B22" s="9" t="s">
        <v>22</v>
      </c>
      <c r="C22" s="5">
        <v>100</v>
      </c>
      <c r="D22" s="6">
        <v>200</v>
      </c>
      <c r="E22" s="9" t="str">
        <f>IF(Stock_Min_Bal[[#This Row],[CURRENT QTY]]&lt;Stock_Min_Bal[[#This Row],[MIN BAL QTY]],"Below minimum","Minimum maintained")</f>
        <v>Minimum maintained</v>
      </c>
    </row>
    <row r="23" spans="1:5" x14ac:dyDescent="0.25">
      <c r="A23" s="1" t="s">
        <v>37</v>
      </c>
      <c r="B23" s="9" t="s">
        <v>23</v>
      </c>
      <c r="C23" s="5">
        <v>400</v>
      </c>
      <c r="D23" s="6">
        <v>600</v>
      </c>
      <c r="E23" s="9" t="str">
        <f>IF(Stock_Min_Bal[[#This Row],[CURRENT QTY]]&lt;Stock_Min_Bal[[#This Row],[MIN BAL QTY]],"Below minimum","Minimum maintained")</f>
        <v>Minimum maintained</v>
      </c>
    </row>
    <row r="24" spans="1:5" x14ac:dyDescent="0.25">
      <c r="A24" s="1" t="s">
        <v>37</v>
      </c>
      <c r="B24" s="9" t="s">
        <v>24</v>
      </c>
      <c r="C24" s="5">
        <v>25</v>
      </c>
      <c r="D24" s="6">
        <v>375</v>
      </c>
      <c r="E24" s="9" t="str">
        <f>IF(Stock_Min_Bal[[#This Row],[CURRENT QTY]]&lt;Stock_Min_Bal[[#This Row],[MIN BAL QTY]],"Below minimum","Minimum maintained")</f>
        <v>Minimum maintained</v>
      </c>
    </row>
    <row r="25" spans="1:5" x14ac:dyDescent="0.25">
      <c r="A25" s="1" t="s">
        <v>37</v>
      </c>
      <c r="B25" s="9" t="s">
        <v>25</v>
      </c>
      <c r="C25" s="5">
        <v>50</v>
      </c>
      <c r="D25" s="6">
        <v>275</v>
      </c>
      <c r="E25" s="9" t="str">
        <f>IF(Stock_Min_Bal[[#This Row],[CURRENT QTY]]&lt;Stock_Min_Bal[[#This Row],[MIN BAL QTY]],"Below minimum","Minimum maintained")</f>
        <v>Minimum maintained</v>
      </c>
    </row>
    <row r="26" spans="1:5" x14ac:dyDescent="0.25">
      <c r="A26" s="1" t="s">
        <v>37</v>
      </c>
      <c r="B26" s="9" t="s">
        <v>26</v>
      </c>
      <c r="C26" s="5">
        <v>400</v>
      </c>
      <c r="D26" s="6">
        <v>800</v>
      </c>
      <c r="E26" s="9" t="str">
        <f>IF(Stock_Min_Bal[[#This Row],[CURRENT QTY]]&lt;Stock_Min_Bal[[#This Row],[MIN BAL QTY]],"Below minimum","Minimum maintained")</f>
        <v>Minimum maintained</v>
      </c>
    </row>
    <row r="27" spans="1:5" x14ac:dyDescent="0.25">
      <c r="A27" s="1" t="s">
        <v>37</v>
      </c>
      <c r="B27" s="9" t="s">
        <v>27</v>
      </c>
      <c r="C27" s="5">
        <v>600</v>
      </c>
      <c r="D27" s="6">
        <v>2504</v>
      </c>
      <c r="E27" s="9" t="str">
        <f>IF(Stock_Min_Bal[[#This Row],[CURRENT QTY]]&lt;Stock_Min_Bal[[#This Row],[MIN BAL QTY]],"Below minimum","Minimum maintained")</f>
        <v>Minimum maintained</v>
      </c>
    </row>
    <row r="28" spans="1:5" x14ac:dyDescent="0.25">
      <c r="A28" s="1" t="s">
        <v>37</v>
      </c>
      <c r="B28" s="9" t="s">
        <v>28</v>
      </c>
      <c r="C28" s="5">
        <v>5000</v>
      </c>
      <c r="D28" s="6">
        <v>8250</v>
      </c>
      <c r="E28" s="9" t="str">
        <f>IF(Stock_Min_Bal[[#This Row],[CURRENT QTY]]&lt;Stock_Min_Bal[[#This Row],[MIN BAL QTY]],"Below minimum","Minimum maintained")</f>
        <v>Minimum maintained</v>
      </c>
    </row>
    <row r="29" spans="1:5" x14ac:dyDescent="0.25">
      <c r="A29" s="1" t="s">
        <v>37</v>
      </c>
      <c r="B29" s="9" t="s">
        <v>29</v>
      </c>
      <c r="C29" s="5">
        <v>1050</v>
      </c>
      <c r="D29" s="6">
        <v>9360</v>
      </c>
      <c r="E29" s="9" t="str">
        <f>IF(Stock_Min_Bal[[#This Row],[CURRENT QTY]]&lt;Stock_Min_Bal[[#This Row],[MIN BAL QTY]],"Below minimum","Minimum maintained")</f>
        <v>Minimum maintained</v>
      </c>
    </row>
    <row r="30" spans="1:5" x14ac:dyDescent="0.25">
      <c r="A30" s="1" t="s">
        <v>37</v>
      </c>
      <c r="B30" s="9" t="s">
        <v>30</v>
      </c>
      <c r="C30" s="5">
        <v>500</v>
      </c>
      <c r="D30" s="6">
        <v>1380</v>
      </c>
      <c r="E30" s="9" t="str">
        <f>IF(Stock_Min_Bal[[#This Row],[CURRENT QTY]]&lt;Stock_Min_Bal[[#This Row],[MIN BAL QTY]],"Below minimum","Minimum maintained")</f>
        <v>Minimum maintained</v>
      </c>
    </row>
    <row r="31" spans="1:5" x14ac:dyDescent="0.25">
      <c r="A31" s="1" t="s">
        <v>37</v>
      </c>
      <c r="B31" s="9" t="s">
        <v>31</v>
      </c>
      <c r="C31" s="5">
        <v>99000</v>
      </c>
      <c r="D31" s="6">
        <v>234000</v>
      </c>
      <c r="E31" s="9" t="str">
        <f>IF(Stock_Min_Bal[[#This Row],[CURRENT QTY]]&lt;Stock_Min_Bal[[#This Row],[MIN BAL QTY]],"Below minimum","Minimum maintained")</f>
        <v>Minimum maintained</v>
      </c>
    </row>
    <row r="32" spans="1:5" x14ac:dyDescent="0.25">
      <c r="A32" s="1" t="s">
        <v>37</v>
      </c>
      <c r="B32" s="9" t="s">
        <v>33</v>
      </c>
      <c r="C32" s="5">
        <v>2000</v>
      </c>
      <c r="D32" s="6">
        <v>3990</v>
      </c>
      <c r="E32" s="9" t="str">
        <f>IF(Stock_Min_Bal[[#This Row],[CURRENT QTY]]&lt;Stock_Min_Bal[[#This Row],[MIN BAL QTY]],"Below minimum","Minimum maintained")</f>
        <v>Minimum maintained</v>
      </c>
    </row>
    <row r="33" spans="1:5" x14ac:dyDescent="0.25">
      <c r="A33" s="1" t="s">
        <v>37</v>
      </c>
      <c r="B33" s="9" t="s">
        <v>34</v>
      </c>
      <c r="C33" s="5">
        <v>500</v>
      </c>
      <c r="D33" s="6">
        <v>1950</v>
      </c>
      <c r="E33" s="9" t="str">
        <f>IF(Stock_Min_Bal[[#This Row],[CURRENT QTY]]&lt;Stock_Min_Bal[[#This Row],[MIN BAL QTY]],"Below minimum","Minimum maintained")</f>
        <v>Minimum maintained</v>
      </c>
    </row>
    <row r="34" spans="1:5" x14ac:dyDescent="0.25">
      <c r="A34" s="1" t="s">
        <v>37</v>
      </c>
      <c r="B34" s="9" t="s">
        <v>35</v>
      </c>
      <c r="C34" s="5">
        <v>1050</v>
      </c>
      <c r="D34" s="6">
        <v>11130</v>
      </c>
      <c r="E34" s="9" t="str">
        <f>IF(Stock_Min_Bal[[#This Row],[CURRENT QTY]]&lt;Stock_Min_Bal[[#This Row],[MIN BAL QTY]],"Below minimum","Minimum maintained")</f>
        <v>Minimum maintained</v>
      </c>
    </row>
    <row r="35" spans="1:5" x14ac:dyDescent="0.25">
      <c r="A35" s="1" t="s">
        <v>37</v>
      </c>
      <c r="B35" s="9" t="s">
        <v>36</v>
      </c>
      <c r="C35" s="5">
        <v>436</v>
      </c>
      <c r="D35" s="6">
        <v>654</v>
      </c>
      <c r="E35" s="9" t="str">
        <f>IF(Stock_Min_Bal[[#This Row],[CURRENT QTY]]&lt;Stock_Min_Bal[[#This Row],[MIN BAL QTY]],"Below minimum","Minimum maintained")</f>
        <v>Minimum maintained</v>
      </c>
    </row>
    <row r="36" spans="1:5" x14ac:dyDescent="0.25">
      <c r="A36" s="8" t="s">
        <v>38</v>
      </c>
      <c r="B36" s="10" t="s">
        <v>40</v>
      </c>
      <c r="C36" s="7">
        <v>5</v>
      </c>
      <c r="D36" s="6">
        <v>0</v>
      </c>
      <c r="E36" s="9" t="str">
        <f>IF(Stock_Min_Bal[[#This Row],[CURRENT QTY]]&lt;Stock_Min_Bal[[#This Row],[MIN BAL QTY]],"Below minimum","Minimum maintained")</f>
        <v>Below minimum</v>
      </c>
    </row>
    <row r="37" spans="1:5" x14ac:dyDescent="0.25">
      <c r="A37" s="8" t="s">
        <v>38</v>
      </c>
      <c r="B37" s="9" t="s">
        <v>41</v>
      </c>
      <c r="C37" s="5">
        <v>800</v>
      </c>
      <c r="D37" s="6">
        <v>100.4</v>
      </c>
      <c r="E37" s="9" t="str">
        <f>IF(Stock_Min_Bal[[#This Row],[CURRENT QTY]]&lt;Stock_Min_Bal[[#This Row],[MIN BAL QTY]],"Below minimum","Minimum maintained")</f>
        <v>Below minimum</v>
      </c>
    </row>
    <row r="38" spans="1:5" x14ac:dyDescent="0.25">
      <c r="A38" s="8" t="s">
        <v>38</v>
      </c>
      <c r="B38" s="9" t="s">
        <v>42</v>
      </c>
      <c r="C38" s="5">
        <v>300</v>
      </c>
      <c r="D38" s="6">
        <v>239.4</v>
      </c>
      <c r="E38" s="9" t="str">
        <f>IF(Stock_Min_Bal[[#This Row],[CURRENT QTY]]&lt;Stock_Min_Bal[[#This Row],[MIN BAL QTY]],"Below minimum","Minimum maintained")</f>
        <v>Below minimum</v>
      </c>
    </row>
    <row r="39" spans="1:5" x14ac:dyDescent="0.25">
      <c r="A39" s="8" t="s">
        <v>38</v>
      </c>
      <c r="B39" s="9" t="s">
        <v>43</v>
      </c>
      <c r="C39" s="5">
        <v>5</v>
      </c>
      <c r="D39" s="6">
        <v>4</v>
      </c>
      <c r="E39" s="9" t="str">
        <f>IF(Stock_Min_Bal[[#This Row],[CURRENT QTY]]&lt;Stock_Min_Bal[[#This Row],[MIN BAL QTY]],"Below minimum","Minimum maintained")</f>
        <v>Below minimum</v>
      </c>
    </row>
    <row r="40" spans="1:5" x14ac:dyDescent="0.25">
      <c r="A40" s="8" t="s">
        <v>38</v>
      </c>
      <c r="B40" s="9" t="s">
        <v>44</v>
      </c>
      <c r="C40" s="5">
        <v>150</v>
      </c>
      <c r="D40" s="6">
        <v>0</v>
      </c>
      <c r="E40" s="9" t="str">
        <f>IF(Stock_Min_Bal[[#This Row],[CURRENT QTY]]&lt;Stock_Min_Bal[[#This Row],[MIN BAL QTY]],"Below minimum","Minimum maintained")</f>
        <v>Below minimum</v>
      </c>
    </row>
    <row r="41" spans="1:5" x14ac:dyDescent="0.25">
      <c r="A41" s="8" t="s">
        <v>38</v>
      </c>
      <c r="B41" s="9" t="s">
        <v>45</v>
      </c>
      <c r="C41" s="5">
        <v>300</v>
      </c>
      <c r="D41" s="6">
        <v>198</v>
      </c>
      <c r="E41" s="9" t="str">
        <f>IF(Stock_Min_Bal[[#This Row],[CURRENT QTY]]&lt;Stock_Min_Bal[[#This Row],[MIN BAL QTY]],"Below minimum","Minimum maintained")</f>
        <v>Below minimum</v>
      </c>
    </row>
    <row r="42" spans="1:5" x14ac:dyDescent="0.25">
      <c r="A42" s="8" t="s">
        <v>38</v>
      </c>
      <c r="B42" s="9" t="s">
        <v>46</v>
      </c>
      <c r="C42" s="5">
        <v>10</v>
      </c>
      <c r="D42" s="6">
        <v>1</v>
      </c>
      <c r="E42" s="9" t="str">
        <f>IF(Stock_Min_Bal[[#This Row],[CURRENT QTY]]&lt;Stock_Min_Bal[[#This Row],[MIN BAL QTY]],"Below minimum","Minimum maintained")</f>
        <v>Below minimum</v>
      </c>
    </row>
    <row r="43" spans="1:5" x14ac:dyDescent="0.25">
      <c r="A43" s="8" t="s">
        <v>38</v>
      </c>
      <c r="B43" s="9" t="s">
        <v>47</v>
      </c>
      <c r="C43" s="5">
        <v>200</v>
      </c>
      <c r="D43" s="6">
        <v>177.6</v>
      </c>
      <c r="E43" s="9" t="str">
        <f>IF(Stock_Min_Bal[[#This Row],[CURRENT QTY]]&lt;Stock_Min_Bal[[#This Row],[MIN BAL QTY]],"Below minimum","Minimum maintained")</f>
        <v>Below minimum</v>
      </c>
    </row>
    <row r="44" spans="1:5" x14ac:dyDescent="0.25">
      <c r="A44" s="8" t="s">
        <v>38</v>
      </c>
      <c r="B44" s="9" t="s">
        <v>48</v>
      </c>
      <c r="C44" s="5">
        <v>300</v>
      </c>
      <c r="D44" s="6">
        <v>171.05</v>
      </c>
      <c r="E44" s="9" t="str">
        <f>IF(Stock_Min_Bal[[#This Row],[CURRENT QTY]]&lt;Stock_Min_Bal[[#This Row],[MIN BAL QTY]],"Below minimum","Minimum maintained")</f>
        <v>Below minimum</v>
      </c>
    </row>
    <row r="45" spans="1:5" x14ac:dyDescent="0.25">
      <c r="A45" s="8" t="s">
        <v>38</v>
      </c>
      <c r="B45" s="9" t="s">
        <v>49</v>
      </c>
      <c r="C45" s="5">
        <v>200</v>
      </c>
      <c r="D45" s="6">
        <v>0</v>
      </c>
      <c r="E45" s="9" t="str">
        <f>IF(Stock_Min_Bal[[#This Row],[CURRENT QTY]]&lt;Stock_Min_Bal[[#This Row],[MIN BAL QTY]],"Below minimum","Minimum maintained")</f>
        <v>Below minimum</v>
      </c>
    </row>
    <row r="46" spans="1:5" x14ac:dyDescent="0.25">
      <c r="A46" s="8" t="s">
        <v>38</v>
      </c>
      <c r="B46" s="9" t="s">
        <v>50</v>
      </c>
      <c r="C46" s="5">
        <v>20</v>
      </c>
      <c r="D46" s="6">
        <v>19</v>
      </c>
      <c r="E46" s="9" t="str">
        <f>IF(Stock_Min_Bal[[#This Row],[CURRENT QTY]]&lt;Stock_Min_Bal[[#This Row],[MIN BAL QTY]],"Below minimum","Minimum maintained")</f>
        <v>Below minimum</v>
      </c>
    </row>
    <row r="47" spans="1:5" x14ac:dyDescent="0.25">
      <c r="A47" s="8" t="s">
        <v>38</v>
      </c>
      <c r="B47" s="9" t="s">
        <v>51</v>
      </c>
      <c r="C47" s="5">
        <v>800</v>
      </c>
      <c r="D47" s="6">
        <v>613.04999999999995</v>
      </c>
      <c r="E47" s="9" t="str">
        <f>IF(Stock_Min_Bal[[#This Row],[CURRENT QTY]]&lt;Stock_Min_Bal[[#This Row],[MIN BAL QTY]],"Below minimum","Minimum maintained")</f>
        <v>Below minimum</v>
      </c>
    </row>
    <row r="48" spans="1:5" x14ac:dyDescent="0.25">
      <c r="A48" s="8" t="s">
        <v>38</v>
      </c>
      <c r="B48" s="9" t="s">
        <v>52</v>
      </c>
      <c r="C48" s="5">
        <v>500</v>
      </c>
      <c r="D48" s="6">
        <v>0</v>
      </c>
      <c r="E48" s="9" t="str">
        <f>IF(Stock_Min_Bal[[#This Row],[CURRENT QTY]]&lt;Stock_Min_Bal[[#This Row],[MIN BAL QTY]],"Below minimum","Minimum maintained")</f>
        <v>Below minimum</v>
      </c>
    </row>
    <row r="49" spans="1:5" x14ac:dyDescent="0.25">
      <c r="A49" s="8" t="s">
        <v>38</v>
      </c>
      <c r="B49" s="9" t="s">
        <v>53</v>
      </c>
      <c r="C49" s="5">
        <v>500</v>
      </c>
      <c r="D49" s="6">
        <v>0</v>
      </c>
      <c r="E49" s="9" t="str">
        <f>IF(Stock_Min_Bal[[#This Row],[CURRENT QTY]]&lt;Stock_Min_Bal[[#This Row],[MIN BAL QTY]],"Below minimum","Minimum maintained")</f>
        <v>Below minimum</v>
      </c>
    </row>
    <row r="50" spans="1:5" x14ac:dyDescent="0.25">
      <c r="A50" s="8" t="s">
        <v>38</v>
      </c>
      <c r="B50" s="9" t="s">
        <v>54</v>
      </c>
      <c r="C50" s="5">
        <v>300</v>
      </c>
      <c r="D50" s="6">
        <v>37.39</v>
      </c>
      <c r="E50" s="9" t="str">
        <f>IF(Stock_Min_Bal[[#This Row],[CURRENT QTY]]&lt;Stock_Min_Bal[[#This Row],[MIN BAL QTY]],"Below minimum","Minimum maintained")</f>
        <v>Below minimum</v>
      </c>
    </row>
    <row r="51" spans="1:5" x14ac:dyDescent="0.25">
      <c r="A51" s="8" t="s">
        <v>38</v>
      </c>
      <c r="B51" s="9" t="s">
        <v>55</v>
      </c>
      <c r="C51" s="5">
        <v>1000</v>
      </c>
      <c r="D51" s="6">
        <v>584.95000000000005</v>
      </c>
      <c r="E51" s="9" t="str">
        <f>IF(Stock_Min_Bal[[#This Row],[CURRENT QTY]]&lt;Stock_Min_Bal[[#This Row],[MIN BAL QTY]],"Below minimum","Minimum maintained")</f>
        <v>Below minimum</v>
      </c>
    </row>
    <row r="52" spans="1:5" x14ac:dyDescent="0.25">
      <c r="A52" s="8" t="s">
        <v>38</v>
      </c>
      <c r="B52" s="9" t="s">
        <v>56</v>
      </c>
      <c r="C52" s="5">
        <v>500</v>
      </c>
      <c r="D52" s="6">
        <v>0</v>
      </c>
      <c r="E52" s="9" t="str">
        <f>IF(Stock_Min_Bal[[#This Row],[CURRENT QTY]]&lt;Stock_Min_Bal[[#This Row],[MIN BAL QTY]],"Below minimum","Minimum maintained")</f>
        <v>Below minimum</v>
      </c>
    </row>
    <row r="53" spans="1:5" x14ac:dyDescent="0.25">
      <c r="A53" s="8" t="s">
        <v>38</v>
      </c>
      <c r="B53" s="9" t="s">
        <v>57</v>
      </c>
      <c r="C53" s="5">
        <v>500</v>
      </c>
      <c r="D53" s="6">
        <v>79.97</v>
      </c>
      <c r="E53" s="9" t="str">
        <f>IF(Stock_Min_Bal[[#This Row],[CURRENT QTY]]&lt;Stock_Min_Bal[[#This Row],[MIN BAL QTY]],"Below minimum","Minimum maintained")</f>
        <v>Below minimum</v>
      </c>
    </row>
    <row r="54" spans="1:5" x14ac:dyDescent="0.25">
      <c r="A54" s="8" t="s">
        <v>38</v>
      </c>
      <c r="B54" s="9" t="s">
        <v>58</v>
      </c>
      <c r="C54" s="5">
        <v>300</v>
      </c>
      <c r="D54" s="6">
        <v>237.95</v>
      </c>
      <c r="E54" s="9" t="str">
        <f>IF(Stock_Min_Bal[[#This Row],[CURRENT QTY]]&lt;Stock_Min_Bal[[#This Row],[MIN BAL QTY]],"Below minimum","Minimum maintained")</f>
        <v>Below minimum</v>
      </c>
    </row>
    <row r="55" spans="1:5" x14ac:dyDescent="0.25">
      <c r="A55" s="8" t="s">
        <v>38</v>
      </c>
      <c r="B55" s="9" t="s">
        <v>59</v>
      </c>
      <c r="C55" s="5">
        <v>300</v>
      </c>
      <c r="D55" s="6">
        <v>123.35</v>
      </c>
      <c r="E55" s="9" t="str">
        <f>IF(Stock_Min_Bal[[#This Row],[CURRENT QTY]]&lt;Stock_Min_Bal[[#This Row],[MIN BAL QTY]],"Below minimum","Minimum maintained")</f>
        <v>Below minimum</v>
      </c>
    </row>
    <row r="56" spans="1:5" x14ac:dyDescent="0.25">
      <c r="A56" s="8" t="s">
        <v>38</v>
      </c>
      <c r="B56" s="9" t="s">
        <v>60</v>
      </c>
      <c r="C56" s="5">
        <v>150</v>
      </c>
      <c r="D56" s="6">
        <v>0</v>
      </c>
      <c r="E56" s="9" t="str">
        <f>IF(Stock_Min_Bal[[#This Row],[CURRENT QTY]]&lt;Stock_Min_Bal[[#This Row],[MIN BAL QTY]],"Below minimum","Minimum maintained")</f>
        <v>Below minimum</v>
      </c>
    </row>
    <row r="57" spans="1:5" x14ac:dyDescent="0.25">
      <c r="A57" s="8" t="s">
        <v>38</v>
      </c>
      <c r="B57" s="9" t="s">
        <v>61</v>
      </c>
      <c r="C57" s="5">
        <v>100</v>
      </c>
      <c r="D57" s="6">
        <v>0</v>
      </c>
      <c r="E57" s="9" t="str">
        <f>IF(Stock_Min_Bal[[#This Row],[CURRENT QTY]]&lt;Stock_Min_Bal[[#This Row],[MIN BAL QTY]],"Below minimum","Minimum maintained")</f>
        <v>Below minimum</v>
      </c>
    </row>
    <row r="58" spans="1:5" x14ac:dyDescent="0.25">
      <c r="A58" s="8" t="s">
        <v>38</v>
      </c>
      <c r="B58" s="9" t="s">
        <v>62</v>
      </c>
      <c r="C58" s="5">
        <v>200</v>
      </c>
      <c r="D58" s="6">
        <v>131.41</v>
      </c>
      <c r="E58" s="9" t="str">
        <f>IF(Stock_Min_Bal[[#This Row],[CURRENT QTY]]&lt;Stock_Min_Bal[[#This Row],[MIN BAL QTY]],"Below minimum","Minimum maintained")</f>
        <v>Below minimum</v>
      </c>
    </row>
    <row r="59" spans="1:5" x14ac:dyDescent="0.25">
      <c r="A59" s="8" t="s">
        <v>38</v>
      </c>
      <c r="B59" s="9" t="s">
        <v>63</v>
      </c>
      <c r="C59" s="5">
        <v>400</v>
      </c>
      <c r="D59" s="6">
        <v>0</v>
      </c>
      <c r="E59" s="9" t="str">
        <f>IF(Stock_Min_Bal[[#This Row],[CURRENT QTY]]&lt;Stock_Min_Bal[[#This Row],[MIN BAL QTY]],"Below minimum","Minimum maintained")</f>
        <v>Below minimum</v>
      </c>
    </row>
    <row r="60" spans="1:5" x14ac:dyDescent="0.25">
      <c r="A60" s="8" t="s">
        <v>38</v>
      </c>
      <c r="B60" s="9" t="s">
        <v>64</v>
      </c>
      <c r="C60" s="5">
        <v>100</v>
      </c>
      <c r="D60" s="6">
        <v>0</v>
      </c>
      <c r="E60" s="9" t="str">
        <f>IF(Stock_Min_Bal[[#This Row],[CURRENT QTY]]&lt;Stock_Min_Bal[[#This Row],[MIN BAL QTY]],"Below minimum","Minimum maintained")</f>
        <v>Below minimum</v>
      </c>
    </row>
    <row r="61" spans="1:5" x14ac:dyDescent="0.25">
      <c r="A61" s="8" t="s">
        <v>38</v>
      </c>
      <c r="B61" s="9" t="s">
        <v>65</v>
      </c>
      <c r="C61" s="5">
        <v>300</v>
      </c>
      <c r="D61" s="6">
        <v>0</v>
      </c>
      <c r="E61" s="9" t="str">
        <f>IF(Stock_Min_Bal[[#This Row],[CURRENT QTY]]&lt;Stock_Min_Bal[[#This Row],[MIN BAL QTY]],"Below minimum","Minimum maintained")</f>
        <v>Below minimum</v>
      </c>
    </row>
    <row r="62" spans="1:5" x14ac:dyDescent="0.25">
      <c r="A62" s="8" t="s">
        <v>38</v>
      </c>
      <c r="B62" s="9" t="s">
        <v>66</v>
      </c>
      <c r="C62" s="5">
        <v>300</v>
      </c>
      <c r="D62" s="6">
        <v>0</v>
      </c>
      <c r="E62" s="9" t="str">
        <f>IF(Stock_Min_Bal[[#This Row],[CURRENT QTY]]&lt;Stock_Min_Bal[[#This Row],[MIN BAL QTY]],"Below minimum","Minimum maintained")</f>
        <v>Below minimum</v>
      </c>
    </row>
    <row r="63" spans="1:5" x14ac:dyDescent="0.25">
      <c r="A63" s="8" t="s">
        <v>38</v>
      </c>
      <c r="B63" s="9" t="s">
        <v>67</v>
      </c>
      <c r="C63" s="5">
        <v>200</v>
      </c>
      <c r="D63" s="6">
        <v>0</v>
      </c>
      <c r="E63" s="9" t="str">
        <f>IF(Stock_Min_Bal[[#This Row],[CURRENT QTY]]&lt;Stock_Min_Bal[[#This Row],[MIN BAL QTY]],"Below minimum","Minimum maintained")</f>
        <v>Below minimum</v>
      </c>
    </row>
    <row r="64" spans="1:5" x14ac:dyDescent="0.25">
      <c r="A64" s="8" t="s">
        <v>38</v>
      </c>
      <c r="B64" s="9" t="s">
        <v>68</v>
      </c>
      <c r="C64" s="5">
        <v>200</v>
      </c>
      <c r="D64" s="6">
        <v>0</v>
      </c>
      <c r="E64" s="9" t="str">
        <f>IF(Stock_Min_Bal[[#This Row],[CURRENT QTY]]&lt;Stock_Min_Bal[[#This Row],[MIN BAL QTY]],"Below minimum","Minimum maintained")</f>
        <v>Below minimum</v>
      </c>
    </row>
    <row r="65" spans="1:5" x14ac:dyDescent="0.25">
      <c r="A65" s="8" t="s">
        <v>38</v>
      </c>
      <c r="B65" s="9" t="s">
        <v>69</v>
      </c>
      <c r="C65" s="5">
        <v>200</v>
      </c>
      <c r="D65" s="6">
        <v>0</v>
      </c>
      <c r="E65" s="9" t="str">
        <f>IF(Stock_Min_Bal[[#This Row],[CURRENT QTY]]&lt;Stock_Min_Bal[[#This Row],[MIN BAL QTY]],"Below minimum","Minimum maintained")</f>
        <v>Below minimum</v>
      </c>
    </row>
    <row r="66" spans="1:5" x14ac:dyDescent="0.25">
      <c r="A66" s="8" t="s">
        <v>38</v>
      </c>
      <c r="B66" s="9" t="s">
        <v>70</v>
      </c>
      <c r="C66" s="5">
        <v>200</v>
      </c>
      <c r="D66" s="6">
        <v>0</v>
      </c>
      <c r="E66" s="9" t="str">
        <f>IF(Stock_Min_Bal[[#This Row],[CURRENT QTY]]&lt;Stock_Min_Bal[[#This Row],[MIN BAL QTY]],"Below minimum","Minimum maintained")</f>
        <v>Below minimum</v>
      </c>
    </row>
    <row r="67" spans="1:5" x14ac:dyDescent="0.25">
      <c r="A67" s="8" t="s">
        <v>38</v>
      </c>
      <c r="B67" s="9" t="s">
        <v>71</v>
      </c>
      <c r="C67" s="5">
        <v>200</v>
      </c>
      <c r="D67" s="6">
        <v>0</v>
      </c>
      <c r="E67" s="9" t="str">
        <f>IF(Stock_Min_Bal[[#This Row],[CURRENT QTY]]&lt;Stock_Min_Bal[[#This Row],[MIN BAL QTY]],"Below minimum","Minimum maintained")</f>
        <v>Below minimum</v>
      </c>
    </row>
    <row r="68" spans="1:5" x14ac:dyDescent="0.25">
      <c r="A68" s="8" t="s">
        <v>38</v>
      </c>
      <c r="B68" s="9" t="s">
        <v>72</v>
      </c>
      <c r="C68" s="5">
        <v>200</v>
      </c>
      <c r="D68" s="6">
        <v>0</v>
      </c>
      <c r="E68" s="9" t="str">
        <f>IF(Stock_Min_Bal[[#This Row],[CURRENT QTY]]&lt;Stock_Min_Bal[[#This Row],[MIN BAL QTY]],"Below minimum","Minimum maintained")</f>
        <v>Below minimum</v>
      </c>
    </row>
    <row r="69" spans="1:5" x14ac:dyDescent="0.25">
      <c r="A69" s="8" t="s">
        <v>38</v>
      </c>
      <c r="B69" s="9" t="s">
        <v>73</v>
      </c>
      <c r="C69" s="5">
        <v>300</v>
      </c>
      <c r="D69" s="6">
        <v>0</v>
      </c>
      <c r="E69" s="9" t="str">
        <f>IF(Stock_Min_Bal[[#This Row],[CURRENT QTY]]&lt;Stock_Min_Bal[[#This Row],[MIN BAL QTY]],"Below minimum","Minimum maintained")</f>
        <v>Below minimum</v>
      </c>
    </row>
    <row r="70" spans="1:5" x14ac:dyDescent="0.25">
      <c r="A70" s="8" t="s">
        <v>38</v>
      </c>
      <c r="B70" s="9" t="s">
        <v>74</v>
      </c>
      <c r="C70" s="5">
        <v>3000</v>
      </c>
      <c r="D70" s="6">
        <v>0</v>
      </c>
      <c r="E70" s="9" t="str">
        <f>IF(Stock_Min_Bal[[#This Row],[CURRENT QTY]]&lt;Stock_Min_Bal[[#This Row],[MIN BAL QTY]],"Below minimum","Minimum maintained")</f>
        <v>Below minimum</v>
      </c>
    </row>
    <row r="71" spans="1:5" x14ac:dyDescent="0.25">
      <c r="A71" s="8" t="s">
        <v>38</v>
      </c>
      <c r="B71" s="9" t="s">
        <v>75</v>
      </c>
      <c r="C71" s="5">
        <v>2000</v>
      </c>
      <c r="D71" s="6">
        <v>250</v>
      </c>
      <c r="E71" s="9" t="str">
        <f>IF(Stock_Min_Bal[[#This Row],[CURRENT QTY]]&lt;Stock_Min_Bal[[#This Row],[MIN BAL QTY]],"Below minimum","Minimum maintained")</f>
        <v>Below minimum</v>
      </c>
    </row>
    <row r="72" spans="1:5" x14ac:dyDescent="0.25">
      <c r="A72" s="8" t="s">
        <v>38</v>
      </c>
      <c r="B72" s="9" t="s">
        <v>76</v>
      </c>
      <c r="C72" s="5">
        <v>100</v>
      </c>
      <c r="D72" s="6">
        <v>0</v>
      </c>
      <c r="E72" s="9" t="str">
        <f>IF(Stock_Min_Bal[[#This Row],[CURRENT QTY]]&lt;Stock_Min_Bal[[#This Row],[MIN BAL QTY]],"Below minimum","Minimum maintained")</f>
        <v>Below minimum</v>
      </c>
    </row>
    <row r="73" spans="1:5" x14ac:dyDescent="0.25">
      <c r="A73" s="8" t="s">
        <v>38</v>
      </c>
      <c r="B73" s="9" t="s">
        <v>77</v>
      </c>
      <c r="C73" s="5">
        <v>1500</v>
      </c>
      <c r="D73" s="6">
        <v>250</v>
      </c>
      <c r="E73" s="9" t="str">
        <f>IF(Stock_Min_Bal[[#This Row],[CURRENT QTY]]&lt;Stock_Min_Bal[[#This Row],[MIN BAL QTY]],"Below minimum","Minimum maintained")</f>
        <v>Below minimum</v>
      </c>
    </row>
    <row r="74" spans="1:5" x14ac:dyDescent="0.25">
      <c r="A74" s="8" t="s">
        <v>38</v>
      </c>
      <c r="B74" s="9" t="s">
        <v>78</v>
      </c>
      <c r="C74" s="5">
        <v>1000</v>
      </c>
      <c r="D74" s="6">
        <v>0</v>
      </c>
      <c r="E74" s="9" t="str">
        <f>IF(Stock_Min_Bal[[#This Row],[CURRENT QTY]]&lt;Stock_Min_Bal[[#This Row],[MIN BAL QTY]],"Below minimum","Minimum maintained")</f>
        <v>Below minimum</v>
      </c>
    </row>
    <row r="75" spans="1:5" x14ac:dyDescent="0.25">
      <c r="A75" s="8" t="s">
        <v>38</v>
      </c>
      <c r="B75" s="9" t="s">
        <v>126</v>
      </c>
      <c r="C75" s="5">
        <v>500</v>
      </c>
      <c r="D75" s="6">
        <v>300</v>
      </c>
      <c r="E75" s="9" t="str">
        <f>IF(Stock_Min_Bal[[#This Row],[CURRENT QTY]]&lt;Stock_Min_Bal[[#This Row],[MIN BAL QTY]],"Below minimum","Minimum maintained")</f>
        <v>Below minimum</v>
      </c>
    </row>
    <row r="76" spans="1:5" x14ac:dyDescent="0.25">
      <c r="A76" s="8" t="s">
        <v>38</v>
      </c>
      <c r="B76" s="9" t="s">
        <v>80</v>
      </c>
      <c r="C76" s="5">
        <v>500</v>
      </c>
      <c r="D76" s="6">
        <v>0</v>
      </c>
      <c r="E76" s="9" t="str">
        <f>IF(Stock_Min_Bal[[#This Row],[CURRENT QTY]]&lt;Stock_Min_Bal[[#This Row],[MIN BAL QTY]],"Below minimum","Minimum maintained")</f>
        <v>Below minimum</v>
      </c>
    </row>
    <row r="77" spans="1:5" x14ac:dyDescent="0.25">
      <c r="A77" s="8" t="s">
        <v>38</v>
      </c>
      <c r="B77" s="9" t="s">
        <v>81</v>
      </c>
      <c r="C77" s="5">
        <v>1000</v>
      </c>
      <c r="D77" s="6">
        <v>0</v>
      </c>
      <c r="E77" s="9" t="str">
        <f>IF(Stock_Min_Bal[[#This Row],[CURRENT QTY]]&lt;Stock_Min_Bal[[#This Row],[MIN BAL QTY]],"Below minimum","Minimum maintained")</f>
        <v>Below minimum</v>
      </c>
    </row>
    <row r="78" spans="1:5" x14ac:dyDescent="0.25">
      <c r="A78" s="8" t="s">
        <v>38</v>
      </c>
      <c r="B78" s="9" t="s">
        <v>82</v>
      </c>
      <c r="C78" s="5">
        <v>10</v>
      </c>
      <c r="D78" s="6">
        <v>0</v>
      </c>
      <c r="E78" s="9" t="str">
        <f>IF(Stock_Min_Bal[[#This Row],[CURRENT QTY]]&lt;Stock_Min_Bal[[#This Row],[MIN BAL QTY]],"Below minimum","Minimum maintained")</f>
        <v>Below minimum</v>
      </c>
    </row>
    <row r="79" spans="1:5" x14ac:dyDescent="0.25">
      <c r="A79" s="8" t="s">
        <v>38</v>
      </c>
      <c r="B79" s="9" t="s">
        <v>83</v>
      </c>
      <c r="C79" s="5">
        <v>200</v>
      </c>
      <c r="D79" s="6">
        <v>0</v>
      </c>
      <c r="E79" s="9" t="str">
        <f>IF(Stock_Min_Bal[[#This Row],[CURRENT QTY]]&lt;Stock_Min_Bal[[#This Row],[MIN BAL QTY]],"Below minimum","Minimum maintained")</f>
        <v>Below minimum</v>
      </c>
    </row>
    <row r="80" spans="1:5" x14ac:dyDescent="0.25">
      <c r="A80" s="8" t="s">
        <v>38</v>
      </c>
      <c r="B80" s="9" t="s">
        <v>84</v>
      </c>
      <c r="C80" s="5">
        <v>5</v>
      </c>
      <c r="D80" s="6">
        <v>9</v>
      </c>
      <c r="E80" s="9" t="str">
        <f>IF(Stock_Min_Bal[[#This Row],[CURRENT QTY]]&lt;Stock_Min_Bal[[#This Row],[MIN BAL QTY]],"Below minimum","Minimum maintained")</f>
        <v>Minimum maintained</v>
      </c>
    </row>
    <row r="81" spans="1:5" x14ac:dyDescent="0.25">
      <c r="A81" s="8" t="s">
        <v>38</v>
      </c>
      <c r="B81" s="9" t="s">
        <v>85</v>
      </c>
      <c r="C81" s="5">
        <v>200</v>
      </c>
      <c r="D81" s="6">
        <v>4250</v>
      </c>
      <c r="E81" s="9" t="str">
        <f>IF(Stock_Min_Bal[[#This Row],[CURRENT QTY]]&lt;Stock_Min_Bal[[#This Row],[MIN BAL QTY]],"Below minimum","Minimum maintained")</f>
        <v>Minimum maintained</v>
      </c>
    </row>
    <row r="82" spans="1:5" x14ac:dyDescent="0.25">
      <c r="A82" s="8" t="s">
        <v>38</v>
      </c>
      <c r="B82" s="9" t="s">
        <v>86</v>
      </c>
      <c r="C82" s="5">
        <v>300</v>
      </c>
      <c r="D82" s="6">
        <v>3400</v>
      </c>
      <c r="E82" s="9" t="str">
        <f>IF(Stock_Min_Bal[[#This Row],[CURRENT QTY]]&lt;Stock_Min_Bal[[#This Row],[MIN BAL QTY]],"Below minimum","Minimum maintained")</f>
        <v>Minimum maintained</v>
      </c>
    </row>
    <row r="83" spans="1:5" x14ac:dyDescent="0.25">
      <c r="A83" s="8" t="s">
        <v>38</v>
      </c>
      <c r="B83" s="9" t="s">
        <v>87</v>
      </c>
      <c r="C83" s="5">
        <v>1000</v>
      </c>
      <c r="D83" s="6">
        <v>8176</v>
      </c>
      <c r="E83" s="9" t="str">
        <f>IF(Stock_Min_Bal[[#This Row],[CURRENT QTY]]&lt;Stock_Min_Bal[[#This Row],[MIN BAL QTY]],"Below minimum","Minimum maintained")</f>
        <v>Minimum maintained</v>
      </c>
    </row>
    <row r="84" spans="1:5" x14ac:dyDescent="0.25">
      <c r="A84" s="8" t="s">
        <v>38</v>
      </c>
      <c r="B84" s="9" t="s">
        <v>88</v>
      </c>
      <c r="C84" s="5">
        <v>100</v>
      </c>
      <c r="D84" s="6">
        <v>507</v>
      </c>
      <c r="E84" s="9" t="str">
        <f>IF(Stock_Min_Bal[[#This Row],[CURRENT QTY]]&lt;Stock_Min_Bal[[#This Row],[MIN BAL QTY]],"Below minimum","Minimum maintained")</f>
        <v>Minimum maintained</v>
      </c>
    </row>
    <row r="85" spans="1:5" x14ac:dyDescent="0.25">
      <c r="A85" s="8" t="s">
        <v>38</v>
      </c>
      <c r="B85" s="9" t="s">
        <v>89</v>
      </c>
      <c r="C85" s="5">
        <v>6</v>
      </c>
      <c r="D85" s="6">
        <v>19</v>
      </c>
      <c r="E85" s="9" t="str">
        <f>IF(Stock_Min_Bal[[#This Row],[CURRENT QTY]]&lt;Stock_Min_Bal[[#This Row],[MIN BAL QTY]],"Below minimum","Minimum maintained")</f>
        <v>Minimum maintained</v>
      </c>
    </row>
    <row r="86" spans="1:5" x14ac:dyDescent="0.25">
      <c r="A86" s="8" t="s">
        <v>38</v>
      </c>
      <c r="B86" s="9" t="s">
        <v>90</v>
      </c>
      <c r="C86" s="5">
        <v>6</v>
      </c>
      <c r="D86" s="6">
        <v>23</v>
      </c>
      <c r="E86" s="9" t="str">
        <f>IF(Stock_Min_Bal[[#This Row],[CURRENT QTY]]&lt;Stock_Min_Bal[[#This Row],[MIN BAL QTY]],"Below minimum","Minimum maintained")</f>
        <v>Minimum maintained</v>
      </c>
    </row>
    <row r="87" spans="1:5" x14ac:dyDescent="0.25">
      <c r="A87" s="8" t="s">
        <v>38</v>
      </c>
      <c r="B87" s="9" t="s">
        <v>91</v>
      </c>
      <c r="C87" s="5">
        <v>6</v>
      </c>
      <c r="D87" s="6">
        <v>19</v>
      </c>
      <c r="E87" s="9" t="str">
        <f>IF(Stock_Min_Bal[[#This Row],[CURRENT QTY]]&lt;Stock_Min_Bal[[#This Row],[MIN BAL QTY]],"Below minimum","Minimum maintained")</f>
        <v>Minimum maintained</v>
      </c>
    </row>
    <row r="88" spans="1:5" x14ac:dyDescent="0.25">
      <c r="A88" s="8" t="s">
        <v>38</v>
      </c>
      <c r="B88" s="9" t="s">
        <v>92</v>
      </c>
      <c r="C88" s="5">
        <v>4</v>
      </c>
      <c r="D88" s="6">
        <v>7</v>
      </c>
      <c r="E88" s="9" t="str">
        <f>IF(Stock_Min_Bal[[#This Row],[CURRENT QTY]]&lt;Stock_Min_Bal[[#This Row],[MIN BAL QTY]],"Below minimum","Minimum maintained")</f>
        <v>Minimum maintained</v>
      </c>
    </row>
    <row r="89" spans="1:5" x14ac:dyDescent="0.25">
      <c r="A89" s="8" t="s">
        <v>38</v>
      </c>
      <c r="B89" s="9" t="s">
        <v>93</v>
      </c>
      <c r="C89" s="5">
        <v>1000</v>
      </c>
      <c r="D89" s="6">
        <v>1290</v>
      </c>
      <c r="E89" s="9" t="str">
        <f>IF(Stock_Min_Bal[[#This Row],[CURRENT QTY]]&lt;Stock_Min_Bal[[#This Row],[MIN BAL QTY]],"Below minimum","Minimum maintained")</f>
        <v>Minimum maintained</v>
      </c>
    </row>
    <row r="90" spans="1:5" x14ac:dyDescent="0.25">
      <c r="A90" s="8" t="s">
        <v>38</v>
      </c>
      <c r="B90" s="9" t="s">
        <v>94</v>
      </c>
      <c r="C90" s="5">
        <v>1000</v>
      </c>
      <c r="D90" s="6">
        <v>2575</v>
      </c>
      <c r="E90" s="9" t="str">
        <f>IF(Stock_Min_Bal[[#This Row],[CURRENT QTY]]&lt;Stock_Min_Bal[[#This Row],[MIN BAL QTY]],"Below minimum","Minimum maintained")</f>
        <v>Minimum maintained</v>
      </c>
    </row>
    <row r="91" spans="1:5" x14ac:dyDescent="0.25">
      <c r="A91" s="8" t="s">
        <v>38</v>
      </c>
      <c r="B91" s="9" t="s">
        <v>95</v>
      </c>
      <c r="C91" s="5">
        <v>500</v>
      </c>
      <c r="D91" s="6">
        <v>3716</v>
      </c>
      <c r="E91" s="9" t="str">
        <f>IF(Stock_Min_Bal[[#This Row],[CURRENT QTY]]&lt;Stock_Min_Bal[[#This Row],[MIN BAL QTY]],"Below minimum","Minimum maintained")</f>
        <v>Minimum maintained</v>
      </c>
    </row>
    <row r="92" spans="1:5" x14ac:dyDescent="0.25">
      <c r="A92" s="8" t="s">
        <v>38</v>
      </c>
      <c r="B92" s="9" t="s">
        <v>96</v>
      </c>
      <c r="C92" s="5">
        <v>1000</v>
      </c>
      <c r="D92" s="6">
        <v>2950</v>
      </c>
      <c r="E92" s="9" t="str">
        <f>IF(Stock_Min_Bal[[#This Row],[CURRENT QTY]]&lt;Stock_Min_Bal[[#This Row],[MIN BAL QTY]],"Below minimum","Minimum maintained")</f>
        <v>Minimum maintained</v>
      </c>
    </row>
    <row r="93" spans="1:5" x14ac:dyDescent="0.25">
      <c r="A93" s="8" t="s">
        <v>38</v>
      </c>
      <c r="B93" s="9" t="s">
        <v>97</v>
      </c>
      <c r="C93" s="5">
        <v>4000</v>
      </c>
      <c r="D93" s="6">
        <v>12248</v>
      </c>
      <c r="E93" s="9" t="str">
        <f>IF(Stock_Min_Bal[[#This Row],[CURRENT QTY]]&lt;Stock_Min_Bal[[#This Row],[MIN BAL QTY]],"Below minimum","Minimum maintained")</f>
        <v>Minimum maintained</v>
      </c>
    </row>
    <row r="94" spans="1:5" x14ac:dyDescent="0.25">
      <c r="A94" s="8" t="s">
        <v>38</v>
      </c>
      <c r="B94" s="9" t="s">
        <v>98</v>
      </c>
      <c r="C94" s="5">
        <v>2</v>
      </c>
      <c r="D94" s="6">
        <v>4</v>
      </c>
      <c r="E94" s="9" t="str">
        <f>IF(Stock_Min_Bal[[#This Row],[CURRENT QTY]]&lt;Stock_Min_Bal[[#This Row],[MIN BAL QTY]],"Below minimum","Minimum maintained")</f>
        <v>Minimum maintained</v>
      </c>
    </row>
    <row r="95" spans="1:5" x14ac:dyDescent="0.25">
      <c r="A95" s="8" t="s">
        <v>38</v>
      </c>
      <c r="B95" s="9" t="s">
        <v>99</v>
      </c>
      <c r="C95" s="5">
        <v>5</v>
      </c>
      <c r="D95" s="6">
        <v>21</v>
      </c>
      <c r="E95" s="9" t="str">
        <f>IF(Stock_Min_Bal[[#This Row],[CURRENT QTY]]&lt;Stock_Min_Bal[[#This Row],[MIN BAL QTY]],"Below minimum","Minimum maintained")</f>
        <v>Minimum maintained</v>
      </c>
    </row>
    <row r="96" spans="1:5" x14ac:dyDescent="0.25">
      <c r="A96" s="8" t="s">
        <v>38</v>
      </c>
      <c r="B96" s="9" t="s">
        <v>100</v>
      </c>
      <c r="C96" s="5">
        <v>2</v>
      </c>
      <c r="D96" s="6">
        <v>5</v>
      </c>
      <c r="E96" s="9" t="str">
        <f>IF(Stock_Min_Bal[[#This Row],[CURRENT QTY]]&lt;Stock_Min_Bal[[#This Row],[MIN BAL QTY]],"Below minimum","Minimum maintained")</f>
        <v>Minimum maintained</v>
      </c>
    </row>
    <row r="97" spans="1:5" x14ac:dyDescent="0.25">
      <c r="A97" s="8" t="s">
        <v>38</v>
      </c>
      <c r="B97" s="9" t="s">
        <v>101</v>
      </c>
      <c r="C97" s="5">
        <v>2</v>
      </c>
      <c r="D97" s="6">
        <v>4</v>
      </c>
      <c r="E97" s="9" t="str">
        <f>IF(Stock_Min_Bal[[#This Row],[CURRENT QTY]]&lt;Stock_Min_Bal[[#This Row],[MIN BAL QTY]],"Below minimum","Minimum maintained")</f>
        <v>Minimum maintained</v>
      </c>
    </row>
    <row r="98" spans="1:5" x14ac:dyDescent="0.25">
      <c r="A98" s="8" t="s">
        <v>38</v>
      </c>
      <c r="B98" s="9" t="s">
        <v>102</v>
      </c>
      <c r="C98" s="5">
        <v>400</v>
      </c>
      <c r="D98" s="6">
        <v>1224</v>
      </c>
      <c r="E98" s="9" t="str">
        <f>IF(Stock_Min_Bal[[#This Row],[CURRENT QTY]]&lt;Stock_Min_Bal[[#This Row],[MIN BAL QTY]],"Below minimum","Minimum maintained")</f>
        <v>Minimum maintained</v>
      </c>
    </row>
    <row r="99" spans="1:5" x14ac:dyDescent="0.25">
      <c r="A99" s="8" t="s">
        <v>38</v>
      </c>
      <c r="B99" s="9" t="s">
        <v>103</v>
      </c>
      <c r="C99" s="5">
        <v>300</v>
      </c>
      <c r="D99" s="6">
        <v>556.71</v>
      </c>
      <c r="E99" s="9" t="str">
        <f>IF(Stock_Min_Bal[[#This Row],[CURRENT QTY]]&lt;Stock_Min_Bal[[#This Row],[MIN BAL QTY]],"Below minimum","Minimum maintained")</f>
        <v>Minimum maintained</v>
      </c>
    </row>
    <row r="100" spans="1:5" x14ac:dyDescent="0.25">
      <c r="A100" s="8" t="s">
        <v>38</v>
      </c>
      <c r="B100" s="9" t="s">
        <v>104</v>
      </c>
      <c r="C100" s="5">
        <v>30</v>
      </c>
      <c r="D100" s="6">
        <v>87</v>
      </c>
      <c r="E100" s="9" t="str">
        <f>IF(Stock_Min_Bal[[#This Row],[CURRENT QTY]]&lt;Stock_Min_Bal[[#This Row],[MIN BAL QTY]],"Below minimum","Minimum maintained")</f>
        <v>Minimum maintained</v>
      </c>
    </row>
    <row r="101" spans="1:5" x14ac:dyDescent="0.25">
      <c r="A101" s="8" t="s">
        <v>38</v>
      </c>
      <c r="B101" s="9" t="s">
        <v>105</v>
      </c>
      <c r="C101" s="5">
        <v>10</v>
      </c>
      <c r="D101" s="6">
        <v>13</v>
      </c>
      <c r="E101" s="9" t="str">
        <f>IF(Stock_Min_Bal[[#This Row],[CURRENT QTY]]&lt;Stock_Min_Bal[[#This Row],[MIN BAL QTY]],"Below minimum","Minimum maintained")</f>
        <v>Minimum maintained</v>
      </c>
    </row>
    <row r="102" spans="1:5" x14ac:dyDescent="0.25">
      <c r="A102" s="8" t="s">
        <v>38</v>
      </c>
      <c r="B102" s="9" t="s">
        <v>106</v>
      </c>
      <c r="C102" s="5">
        <v>300</v>
      </c>
      <c r="D102" s="6">
        <v>828</v>
      </c>
      <c r="E102" s="9" t="str">
        <f>IF(Stock_Min_Bal[[#This Row],[CURRENT QTY]]&lt;Stock_Min_Bal[[#This Row],[MIN BAL QTY]],"Below minimum","Minimum maintained")</f>
        <v>Minimum maintained</v>
      </c>
    </row>
    <row r="103" spans="1:5" x14ac:dyDescent="0.25">
      <c r="A103" s="8" t="s">
        <v>38</v>
      </c>
      <c r="B103" s="9" t="s">
        <v>107</v>
      </c>
      <c r="C103" s="5">
        <v>300</v>
      </c>
      <c r="D103" s="6">
        <v>407.25</v>
      </c>
      <c r="E103" s="9" t="str">
        <f>IF(Stock_Min_Bal[[#This Row],[CURRENT QTY]]&lt;Stock_Min_Bal[[#This Row],[MIN BAL QTY]],"Below minimum","Minimum maintained")</f>
        <v>Minimum maintained</v>
      </c>
    </row>
    <row r="104" spans="1:5" x14ac:dyDescent="0.25">
      <c r="A104" s="8" t="s">
        <v>38</v>
      </c>
      <c r="B104" s="9" t="s">
        <v>108</v>
      </c>
      <c r="C104" s="5">
        <v>800</v>
      </c>
      <c r="D104" s="6">
        <v>3821.85</v>
      </c>
      <c r="E104" s="9" t="str">
        <f>IF(Stock_Min_Bal[[#This Row],[CURRENT QTY]]&lt;Stock_Min_Bal[[#This Row],[MIN BAL QTY]],"Below minimum","Minimum maintained")</f>
        <v>Minimum maintained</v>
      </c>
    </row>
    <row r="105" spans="1:5" x14ac:dyDescent="0.25">
      <c r="A105" s="8" t="s">
        <v>38</v>
      </c>
      <c r="B105" s="9" t="s">
        <v>109</v>
      </c>
      <c r="C105" s="5">
        <v>800</v>
      </c>
      <c r="D105" s="6">
        <v>3503.55</v>
      </c>
      <c r="E105" s="9" t="str">
        <f>IF(Stock_Min_Bal[[#This Row],[CURRENT QTY]]&lt;Stock_Min_Bal[[#This Row],[MIN BAL QTY]],"Below minimum","Minimum maintained")</f>
        <v>Minimum maintained</v>
      </c>
    </row>
    <row r="106" spans="1:5" x14ac:dyDescent="0.25">
      <c r="A106" s="8" t="s">
        <v>38</v>
      </c>
      <c r="B106" s="9" t="s">
        <v>110</v>
      </c>
      <c r="C106" s="5">
        <v>300</v>
      </c>
      <c r="D106" s="6">
        <v>3383.35</v>
      </c>
      <c r="E106" s="9" t="str">
        <f>IF(Stock_Min_Bal[[#This Row],[CURRENT QTY]]&lt;Stock_Min_Bal[[#This Row],[MIN BAL QTY]],"Below minimum","Minimum maintained")</f>
        <v>Minimum maintained</v>
      </c>
    </row>
    <row r="107" spans="1:5" x14ac:dyDescent="0.25">
      <c r="A107" s="8" t="s">
        <v>38</v>
      </c>
      <c r="B107" s="9" t="s">
        <v>111</v>
      </c>
      <c r="C107" s="5">
        <v>150</v>
      </c>
      <c r="D107" s="6">
        <v>462.45</v>
      </c>
      <c r="E107" s="9" t="str">
        <f>IF(Stock_Min_Bal[[#This Row],[CURRENT QTY]]&lt;Stock_Min_Bal[[#This Row],[MIN BAL QTY]],"Below minimum","Minimum maintained")</f>
        <v>Minimum maintained</v>
      </c>
    </row>
    <row r="108" spans="1:5" x14ac:dyDescent="0.25">
      <c r="A108" s="8" t="s">
        <v>38</v>
      </c>
      <c r="B108" s="9" t="s">
        <v>112</v>
      </c>
      <c r="C108" s="5">
        <v>700</v>
      </c>
      <c r="D108" s="6">
        <v>1065.8</v>
      </c>
      <c r="E108" s="9" t="str">
        <f>IF(Stock_Min_Bal[[#This Row],[CURRENT QTY]]&lt;Stock_Min_Bal[[#This Row],[MIN BAL QTY]],"Below minimum","Minimum maintained")</f>
        <v>Minimum maintained</v>
      </c>
    </row>
    <row r="109" spans="1:5" x14ac:dyDescent="0.25">
      <c r="A109" s="8" t="s">
        <v>38</v>
      </c>
      <c r="B109" s="9" t="s">
        <v>113</v>
      </c>
      <c r="C109" s="5">
        <v>500</v>
      </c>
      <c r="D109" s="6">
        <v>552.5</v>
      </c>
      <c r="E109" s="9" t="str">
        <f>IF(Stock_Min_Bal[[#This Row],[CURRENT QTY]]&lt;Stock_Min_Bal[[#This Row],[MIN BAL QTY]],"Below minimum","Minimum maintained")</f>
        <v>Minimum maintained</v>
      </c>
    </row>
    <row r="110" spans="1:5" x14ac:dyDescent="0.25">
      <c r="A110" s="8" t="s">
        <v>38</v>
      </c>
      <c r="B110" s="9" t="s">
        <v>114</v>
      </c>
      <c r="C110" s="5">
        <v>150</v>
      </c>
      <c r="D110" s="6">
        <v>324.60000000000002</v>
      </c>
      <c r="E110" s="9" t="str">
        <f>IF(Stock_Min_Bal[[#This Row],[CURRENT QTY]]&lt;Stock_Min_Bal[[#This Row],[MIN BAL QTY]],"Below minimum","Minimum maintained")</f>
        <v>Minimum maintained</v>
      </c>
    </row>
    <row r="111" spans="1:5" x14ac:dyDescent="0.25">
      <c r="A111" s="8" t="s">
        <v>38</v>
      </c>
      <c r="B111" s="9" t="s">
        <v>115</v>
      </c>
      <c r="C111" s="5">
        <v>1000</v>
      </c>
      <c r="D111" s="6">
        <v>1376.4</v>
      </c>
      <c r="E111" s="9" t="str">
        <f>IF(Stock_Min_Bal[[#This Row],[CURRENT QTY]]&lt;Stock_Min_Bal[[#This Row],[MIN BAL QTY]],"Below minimum","Minimum maintained")</f>
        <v>Minimum maintained</v>
      </c>
    </row>
    <row r="112" spans="1:5" x14ac:dyDescent="0.25">
      <c r="A112" s="8" t="s">
        <v>38</v>
      </c>
      <c r="B112" s="9" t="s">
        <v>116</v>
      </c>
      <c r="C112" s="5">
        <v>500</v>
      </c>
      <c r="D112" s="6">
        <v>513.35</v>
      </c>
      <c r="E112" s="9" t="str">
        <f>IF(Stock_Min_Bal[[#This Row],[CURRENT QTY]]&lt;Stock_Min_Bal[[#This Row],[MIN BAL QTY]],"Below minimum","Minimum maintained")</f>
        <v>Minimum maintained</v>
      </c>
    </row>
    <row r="113" spans="1:5" x14ac:dyDescent="0.25">
      <c r="A113" s="8" t="s">
        <v>38</v>
      </c>
      <c r="B113" s="9" t="s">
        <v>117</v>
      </c>
      <c r="C113" s="5">
        <v>100</v>
      </c>
      <c r="D113" s="6">
        <v>109.6</v>
      </c>
      <c r="E113" s="9" t="str">
        <f>IF(Stock_Min_Bal[[#This Row],[CURRENT QTY]]&lt;Stock_Min_Bal[[#This Row],[MIN BAL QTY]],"Below minimum","Minimum maintained")</f>
        <v>Minimum maintained</v>
      </c>
    </row>
    <row r="114" spans="1:5" x14ac:dyDescent="0.25">
      <c r="A114" s="8" t="s">
        <v>38</v>
      </c>
      <c r="B114" s="9" t="s">
        <v>118</v>
      </c>
      <c r="C114" s="5">
        <v>150</v>
      </c>
      <c r="D114" s="6">
        <v>150.69999999999999</v>
      </c>
      <c r="E114" s="9" t="str">
        <f>IF(Stock_Min_Bal[[#This Row],[CURRENT QTY]]&lt;Stock_Min_Bal[[#This Row],[MIN BAL QTY]],"Below minimum","Minimum maintained")</f>
        <v>Minimum maintained</v>
      </c>
    </row>
    <row r="115" spans="1:5" x14ac:dyDescent="0.25">
      <c r="A115" s="8" t="s">
        <v>38</v>
      </c>
      <c r="B115" s="9" t="s">
        <v>119</v>
      </c>
      <c r="C115" s="5">
        <v>100</v>
      </c>
      <c r="D115" s="6">
        <v>115.5</v>
      </c>
      <c r="E115" s="9" t="str">
        <f>IF(Stock_Min_Bal[[#This Row],[CURRENT QTY]]&lt;Stock_Min_Bal[[#This Row],[MIN BAL QTY]],"Below minimum","Minimum maintained")</f>
        <v>Minimum maintained</v>
      </c>
    </row>
    <row r="116" spans="1:5" x14ac:dyDescent="0.25">
      <c r="A116" s="8" t="s">
        <v>38</v>
      </c>
      <c r="B116" s="9" t="s">
        <v>120</v>
      </c>
      <c r="C116" s="5">
        <v>100</v>
      </c>
      <c r="D116" s="6">
        <v>416.7</v>
      </c>
      <c r="E116" s="9" t="str">
        <f>IF(Stock_Min_Bal[[#This Row],[CURRENT QTY]]&lt;Stock_Min_Bal[[#This Row],[MIN BAL QTY]],"Below minimum","Minimum maintained")</f>
        <v>Minimum maintained</v>
      </c>
    </row>
    <row r="117" spans="1:5" x14ac:dyDescent="0.25">
      <c r="A117" s="8" t="s">
        <v>38</v>
      </c>
      <c r="B117" s="9" t="s">
        <v>121</v>
      </c>
      <c r="C117" s="5">
        <v>150</v>
      </c>
      <c r="D117" s="6">
        <v>376.15</v>
      </c>
      <c r="E117" s="9" t="str">
        <f>IF(Stock_Min_Bal[[#This Row],[CURRENT QTY]]&lt;Stock_Min_Bal[[#This Row],[MIN BAL QTY]],"Below minimum","Minimum maintained")</f>
        <v>Minimum maintained</v>
      </c>
    </row>
    <row r="118" spans="1:5" x14ac:dyDescent="0.25">
      <c r="A118" s="8" t="s">
        <v>38</v>
      </c>
      <c r="B118" s="9" t="s">
        <v>122</v>
      </c>
      <c r="C118" s="5">
        <v>150</v>
      </c>
      <c r="D118" s="6">
        <v>249.55</v>
      </c>
      <c r="E118" s="9" t="str">
        <f>IF(Stock_Min_Bal[[#This Row],[CURRENT QTY]]&lt;Stock_Min_Bal[[#This Row],[MIN BAL QTY]],"Below minimum","Minimum maintained")</f>
        <v>Minimum maintained</v>
      </c>
    </row>
    <row r="119" spans="1:5" x14ac:dyDescent="0.25">
      <c r="A119" s="8" t="s">
        <v>38</v>
      </c>
      <c r="B119" s="9" t="s">
        <v>123</v>
      </c>
      <c r="C119" s="5">
        <v>200</v>
      </c>
      <c r="D119" s="6">
        <v>300.11</v>
      </c>
      <c r="E119" s="9" t="str">
        <f>IF(Stock_Min_Bal[[#This Row],[CURRENT QTY]]&lt;Stock_Min_Bal[[#This Row],[MIN BAL QTY]],"Below minimum","Minimum maintained")</f>
        <v>Minimum maintained</v>
      </c>
    </row>
    <row r="120" spans="1:5" x14ac:dyDescent="0.25">
      <c r="A120" s="8" t="s">
        <v>38</v>
      </c>
      <c r="B120" s="9" t="s">
        <v>124</v>
      </c>
      <c r="C120" s="5">
        <v>500</v>
      </c>
      <c r="D120" s="6">
        <v>500</v>
      </c>
      <c r="E120" s="9" t="str">
        <f>IF(Stock_Min_Bal[[#This Row],[CURRENT QTY]]&lt;Stock_Min_Bal[[#This Row],[MIN BAL QTY]],"Below minimum","Minimum maintained")</f>
        <v>Minimum maintained</v>
      </c>
    </row>
    <row r="121" spans="1:5" x14ac:dyDescent="0.25">
      <c r="A121" s="8" t="s">
        <v>38</v>
      </c>
      <c r="B121" s="9" t="s">
        <v>125</v>
      </c>
      <c r="C121" s="5">
        <v>200</v>
      </c>
      <c r="D121" s="6">
        <v>400</v>
      </c>
      <c r="E121" s="9" t="str">
        <f>IF(Stock_Min_Bal[[#This Row],[CURRENT QTY]]&lt;Stock_Min_Bal[[#This Row],[MIN BAL QTY]],"Below minimum","Minimum maintained")</f>
        <v>Minimum maintained</v>
      </c>
    </row>
    <row r="122" spans="1:5" x14ac:dyDescent="0.25">
      <c r="A122" s="8" t="s">
        <v>38</v>
      </c>
      <c r="B122" s="9" t="s">
        <v>79</v>
      </c>
      <c r="C122" s="5">
        <v>1000</v>
      </c>
      <c r="D122" s="6">
        <v>1250</v>
      </c>
      <c r="E122" s="9" t="str">
        <f>IF(Stock_Min_Bal[[#This Row],[CURRENT QTY]]&lt;Stock_Min_Bal[[#This Row],[MIN BAL QTY]],"Below minimum","Minimum maintained")</f>
        <v>Minimum maintained</v>
      </c>
    </row>
    <row r="123" spans="1:5" x14ac:dyDescent="0.25">
      <c r="A123" s="8" t="s">
        <v>38</v>
      </c>
      <c r="B123" s="9" t="s">
        <v>127</v>
      </c>
      <c r="C123" s="5">
        <v>500</v>
      </c>
      <c r="D123" s="6">
        <v>900</v>
      </c>
      <c r="E123" s="9" t="str">
        <f>IF(Stock_Min_Bal[[#This Row],[CURRENT QTY]]&lt;Stock_Min_Bal[[#This Row],[MIN BAL QTY]],"Below minimum","Minimum maintained")</f>
        <v>Minimum maintained</v>
      </c>
    </row>
    <row r="124" spans="1:5" x14ac:dyDescent="0.25">
      <c r="A124" s="8" t="s">
        <v>38</v>
      </c>
      <c r="B124" s="9" t="s">
        <v>128</v>
      </c>
      <c r="C124" s="5">
        <v>700</v>
      </c>
      <c r="D124" s="6">
        <v>4650</v>
      </c>
      <c r="E124" s="9" t="str">
        <f>IF(Stock_Min_Bal[[#This Row],[CURRENT QTY]]&lt;Stock_Min_Bal[[#This Row],[MIN BAL QTY]],"Below minimum","Minimum maintained")</f>
        <v>Minimum maintained</v>
      </c>
    </row>
    <row r="125" spans="1:5" x14ac:dyDescent="0.25">
      <c r="A125" s="8" t="s">
        <v>38</v>
      </c>
      <c r="B125" s="9" t="s">
        <v>129</v>
      </c>
      <c r="C125" s="5">
        <v>700</v>
      </c>
      <c r="D125" s="6">
        <v>1250</v>
      </c>
      <c r="E125" s="9" t="str">
        <f>IF(Stock_Min_Bal[[#This Row],[CURRENT QTY]]&lt;Stock_Min_Bal[[#This Row],[MIN BAL QTY]],"Below minimum","Minimum maintained")</f>
        <v>Minimum maintained</v>
      </c>
    </row>
    <row r="126" spans="1:5" x14ac:dyDescent="0.25">
      <c r="A126" s="8" t="s">
        <v>38</v>
      </c>
      <c r="B126" s="9" t="s">
        <v>130</v>
      </c>
      <c r="C126" s="5">
        <v>30</v>
      </c>
      <c r="D126" s="6">
        <v>39</v>
      </c>
      <c r="E126" s="9" t="str">
        <f>IF(Stock_Min_Bal[[#This Row],[CURRENT QTY]]&lt;Stock_Min_Bal[[#This Row],[MIN BAL QTY]],"Below minimum","Minimum maintained")</f>
        <v>Minimum maintained</v>
      </c>
    </row>
    <row r="127" spans="1:5" x14ac:dyDescent="0.25">
      <c r="A127" s="8" t="s">
        <v>38</v>
      </c>
      <c r="B127" s="9" t="s">
        <v>131</v>
      </c>
      <c r="C127" s="5">
        <v>48</v>
      </c>
      <c r="D127" s="6">
        <v>50</v>
      </c>
      <c r="E127" s="9" t="str">
        <f>IF(Stock_Min_Bal[[#This Row],[CURRENT QTY]]&lt;Stock_Min_Bal[[#This Row],[MIN BAL QTY]],"Below minimum","Minimum maintained")</f>
        <v>Minimum maintained</v>
      </c>
    </row>
    <row r="128" spans="1:5" x14ac:dyDescent="0.25">
      <c r="A128" s="8" t="s">
        <v>38</v>
      </c>
      <c r="B128" s="9" t="s">
        <v>132</v>
      </c>
      <c r="C128" s="5">
        <v>450</v>
      </c>
      <c r="D128" s="6">
        <v>3320.03</v>
      </c>
      <c r="E128" s="9" t="str">
        <f>IF(Stock_Min_Bal[[#This Row],[CURRENT QTY]]&lt;Stock_Min_Bal[[#This Row],[MIN BAL QTY]],"Below minimum","Minimum maintained")</f>
        <v>Minimum maintained</v>
      </c>
    </row>
  </sheetData>
  <conditionalFormatting sqref="B2:B128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2026-10-24T08:53:09Z</dcterms:created>
  <dcterms:modified xsi:type="dcterms:W3CDTF">2026-10-28T07:10:08Z</dcterms:modified>
</cp:coreProperties>
</file>